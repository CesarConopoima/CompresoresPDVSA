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10.xml" ContentType="application/vnd.openxmlformats-officedocument.drawingml.chart+xml"/>
  <Override PartName="/xl/charts/chart20.xml" ContentType="application/vnd.openxmlformats-officedocument.drawingml.char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7.xml" ContentType="application/vnd.openxmlformats-officedocument.drawingml.chart+xml"/>
  <Override PartName="/xl/worksheets/sheet1.xml" ContentType="application/vnd.openxmlformats-officedocument.spreadsheetml.worksheet+xml"/>
  <Default Extension="vml" ContentType="application/vnd.openxmlformats-officedocument.vmlDrawing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360" yWindow="300" windowWidth="8055" windowHeight="5385"/>
  </bookViews>
  <sheets>
    <sheet name="Hoja1" sheetId="1" r:id="rId1"/>
    <sheet name="Hoja2" sheetId="2" state="hidden" r:id="rId2"/>
    <sheet name="HojaDatos" sheetId="3" r:id="rId3"/>
    <sheet name="Hoja4" sheetId="4" r:id="rId4"/>
  </sheets>
  <definedNames>
    <definedName name="Celda2">Hoja1!$AB$4</definedName>
    <definedName name="Comp1">Hoja1!$D$4</definedName>
    <definedName name="Comp2">Hoja1!$E$4</definedName>
    <definedName name="Comp3">Hoja1!$F$4</definedName>
    <definedName name="Comp4">Hoja1!$G$4</definedName>
    <definedName name="EjeX">Hoja1!$C$4</definedName>
    <definedName name="EjeX2">Hoja1!$H$4</definedName>
    <definedName name="FlujoM1">Hoja1!$AD$4</definedName>
    <definedName name="FlujoM2">Hoja1!$AE$4</definedName>
    <definedName name="FlujoM3">Hoja1!$AF$4</definedName>
    <definedName name="FlujoM4">Hoja1!$AG$4</definedName>
    <definedName name="Perd1">Hoja1!$Y$4</definedName>
    <definedName name="Perd2">Hoja1!$Z$4</definedName>
    <definedName name="Perd3">Hoja1!$AA$4</definedName>
    <definedName name="Resultado">Hoja1!$S$21</definedName>
    <definedName name="Resultado2">Hoja1!$S$25</definedName>
    <definedName name="SeleccionGrafico">Hoja1!$Q$5</definedName>
    <definedName name="SeleccionGraficoPerdida">Hoja1!$Q$6</definedName>
  </definedNames>
  <calcPr calcId="125725"/>
</workbook>
</file>

<file path=xl/calcChain.xml><?xml version="1.0" encoding="utf-8"?>
<calcChain xmlns="http://schemas.openxmlformats.org/spreadsheetml/2006/main">
  <c r="AG7" i="1"/>
  <c r="AG8" s="1"/>
  <c r="AG9" s="1"/>
  <c r="AG10" s="1"/>
  <c r="AG11" s="1"/>
  <c r="AG6"/>
  <c r="AG5"/>
  <c r="AF7"/>
  <c r="AF8" s="1"/>
  <c r="AF9" s="1"/>
  <c r="AF10" s="1"/>
  <c r="AF11" s="1"/>
  <c r="AF6"/>
  <c r="AF5"/>
  <c r="AE7"/>
  <c r="AE8" s="1"/>
  <c r="AE9" s="1"/>
  <c r="AE10" s="1"/>
  <c r="AE11" s="1"/>
  <c r="AE6"/>
  <c r="AE5"/>
  <c r="AD6"/>
  <c r="AD7" s="1"/>
  <c r="AD8" s="1"/>
  <c r="AD9" s="1"/>
  <c r="AD10" s="1"/>
  <c r="AD11" s="1"/>
  <c r="AD5"/>
  <c r="D5"/>
  <c r="D6" s="1"/>
  <c r="D7" s="1"/>
  <c r="D8" s="1"/>
  <c r="D9" s="1"/>
  <c r="D10" s="1"/>
  <c r="D11" s="1"/>
  <c r="G4"/>
  <c r="S29"/>
  <c r="Y5"/>
  <c r="Y6" s="1"/>
  <c r="Y7" s="1"/>
  <c r="Y8" s="1"/>
  <c r="Y9" s="1"/>
  <c r="Y10" s="1"/>
  <c r="Y11" s="1"/>
  <c r="G5"/>
  <c r="G6" s="1"/>
  <c r="G7" s="1"/>
  <c r="G8" s="1"/>
  <c r="G9" s="1"/>
  <c r="G10" s="1"/>
  <c r="G11" s="1"/>
  <c r="F5"/>
  <c r="F6" s="1"/>
  <c r="F7" s="1"/>
  <c r="F8" s="1"/>
  <c r="F9" s="1"/>
  <c r="F10" s="1"/>
  <c r="F11" s="1"/>
  <c r="E5"/>
  <c r="E6" s="1"/>
  <c r="E7" s="1"/>
  <c r="E8" s="1"/>
  <c r="E9" s="1"/>
  <c r="E10" s="1"/>
  <c r="E11" s="1"/>
  <c r="AA6"/>
  <c r="AA7" s="1"/>
  <c r="AA8" s="1"/>
  <c r="AA9" s="1"/>
  <c r="AA10" s="1"/>
  <c r="AA11" s="1"/>
  <c r="AA5"/>
  <c r="Z6"/>
  <c r="Z7" s="1"/>
  <c r="Z8" s="1"/>
  <c r="Z9" s="1"/>
  <c r="Z10" s="1"/>
  <c r="Z11" s="1"/>
  <c r="Z5"/>
  <c r="X5"/>
  <c r="X6" s="1"/>
  <c r="X7" s="1"/>
  <c r="X8" s="1"/>
  <c r="X9" s="1"/>
  <c r="X10" s="1"/>
  <c r="X11" s="1"/>
  <c r="C6"/>
  <c r="C7" s="1"/>
  <c r="C8" s="1"/>
  <c r="C9" s="1"/>
  <c r="C10" s="1"/>
  <c r="C11" s="1"/>
  <c r="C5"/>
</calcChain>
</file>

<file path=xl/sharedStrings.xml><?xml version="1.0" encoding="utf-8"?>
<sst xmlns="http://schemas.openxmlformats.org/spreadsheetml/2006/main" count="38" uniqueCount="25">
  <si>
    <t>Equal Diam</t>
  </si>
  <si>
    <t>Geom Mass</t>
  </si>
  <si>
    <t>Puntos de Operación</t>
  </si>
  <si>
    <t>Rangos de Operación Para Compresor Actual</t>
  </si>
  <si>
    <t>Evaluación del sistema Completo</t>
  </si>
  <si>
    <t>Aumente algun parametro del Gráfico 3</t>
  </si>
  <si>
    <t>Celda Manipu</t>
  </si>
  <si>
    <t>Selecciona tu Equipo y observa su Curva</t>
  </si>
  <si>
    <t>RPM</t>
  </si>
  <si>
    <t>Flujo Masico</t>
  </si>
  <si>
    <t>PressureRatio</t>
  </si>
  <si>
    <t>Variación apertura valvula</t>
  </si>
  <si>
    <t>Celda Manipu2</t>
  </si>
  <si>
    <t>lbm/s</t>
  </si>
  <si>
    <t>10000 RPM</t>
  </si>
  <si>
    <t>12000 RPM</t>
  </si>
  <si>
    <t>14000 RPM</t>
  </si>
  <si>
    <t>16000 RPM</t>
  </si>
  <si>
    <t>El punto de Operación para el sistema Original</t>
  </si>
  <si>
    <t>El punto de Operación para el nuevo punto de operación</t>
  </si>
  <si>
    <t>Aumento del Flujo másico de Gas</t>
  </si>
  <si>
    <t>Tabla de Perdidas</t>
  </si>
  <si>
    <t>Limites de Operación Sistema Original</t>
  </si>
  <si>
    <t>Limites de Operación Nuevo Sistema</t>
  </si>
  <si>
    <t>Tabla de Flujo</t>
  </si>
</sst>
</file>

<file path=xl/styles.xml><?xml version="1.0" encoding="utf-8"?>
<styleSheet xmlns="http://schemas.openxmlformats.org/spreadsheetml/2006/main">
  <numFmts count="1">
    <numFmt numFmtId="164" formatCode="0.000"/>
  </numFmts>
  <fonts count="15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4" tint="-0.249977111117893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5"/>
      <color theme="4"/>
      <name val="Calibri"/>
      <family val="2"/>
      <scheme val="minor"/>
    </font>
    <font>
      <b/>
      <sz val="16"/>
      <color theme="9" tint="-0.249977111117893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b/>
      <sz val="18"/>
      <color theme="3"/>
      <name val="Calibri"/>
      <family val="2"/>
      <scheme val="minor"/>
    </font>
    <font>
      <b/>
      <sz val="18"/>
      <color theme="4" tint="-0.499984740745262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6"/>
      <color rgb="FF00B05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theme="9" tint="-0.24994659260841701"/>
      </left>
      <right/>
      <top style="medium">
        <color theme="9" tint="-0.24994659260841701"/>
      </top>
      <bottom style="medium">
        <color theme="9" tint="-0.24994659260841701"/>
      </bottom>
      <diagonal/>
    </border>
    <border>
      <left/>
      <right/>
      <top style="medium">
        <color theme="9" tint="-0.24994659260841701"/>
      </top>
      <bottom style="medium">
        <color theme="9" tint="-0.24994659260841701"/>
      </bottom>
      <diagonal/>
    </border>
    <border>
      <left/>
      <right style="medium">
        <color theme="9" tint="-0.24994659260841701"/>
      </right>
      <top style="medium">
        <color theme="9" tint="-0.24994659260841701"/>
      </top>
      <bottom style="medium">
        <color theme="9" tint="-0.24994659260841701"/>
      </bottom>
      <diagonal/>
    </border>
    <border>
      <left style="medium">
        <color rgb="FF00B050"/>
      </left>
      <right/>
      <top style="medium">
        <color rgb="FF00B050"/>
      </top>
      <bottom style="medium">
        <color rgb="FF00B050"/>
      </bottom>
      <diagonal/>
    </border>
    <border>
      <left/>
      <right/>
      <top style="medium">
        <color rgb="FF00B050"/>
      </top>
      <bottom style="medium">
        <color rgb="FF00B050"/>
      </bottom>
      <diagonal/>
    </border>
    <border>
      <left/>
      <right style="medium">
        <color rgb="FF00B050"/>
      </right>
      <top style="medium">
        <color rgb="FF00B050"/>
      </top>
      <bottom style="medium">
        <color rgb="FF00B050"/>
      </bottom>
      <diagonal/>
    </border>
    <border>
      <left style="thin">
        <color rgb="FF000000"/>
      </left>
      <right/>
      <top/>
      <bottom/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0" fontId="0" fillId="2" borderId="1" xfId="0" applyFill="1" applyBorder="1" applyAlignment="1">
      <alignment horizontal="center" wrapText="1"/>
    </xf>
    <xf numFmtId="0" fontId="3" fillId="2" borderId="0" xfId="0" applyFont="1" applyFill="1" applyAlignment="1">
      <alignment horizontal="center"/>
    </xf>
    <xf numFmtId="0" fontId="4" fillId="2" borderId="0" xfId="0" applyFont="1" applyFill="1"/>
    <xf numFmtId="0" fontId="2" fillId="2" borderId="0" xfId="0" applyFont="1" applyFill="1" applyAlignment="1">
      <alignment horizontal="center"/>
    </xf>
    <xf numFmtId="0" fontId="0" fillId="2" borderId="0" xfId="0" applyFill="1" applyBorder="1" applyAlignment="1">
      <alignment horizontal="center" wrapText="1"/>
    </xf>
    <xf numFmtId="0" fontId="0" fillId="2" borderId="0" xfId="0" applyFill="1" applyBorder="1"/>
    <xf numFmtId="0" fontId="0" fillId="2" borderId="1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6" fillId="2" borderId="0" xfId="0" applyFont="1" applyFill="1"/>
    <xf numFmtId="0" fontId="7" fillId="2" borderId="0" xfId="0" applyFont="1" applyFill="1"/>
    <xf numFmtId="0" fontId="10" fillId="2" borderId="0" xfId="0" applyFont="1" applyFill="1"/>
    <xf numFmtId="0" fontId="4" fillId="2" borderId="0" xfId="0" applyFont="1" applyFill="1" applyAlignment="1">
      <alignment horizontal="center"/>
    </xf>
    <xf numFmtId="0" fontId="5" fillId="2" borderId="0" xfId="0" applyFont="1" applyFill="1"/>
    <xf numFmtId="0" fontId="5" fillId="2" borderId="0" xfId="0" applyFont="1" applyFill="1" applyAlignment="1">
      <alignment horizontal="center"/>
    </xf>
    <xf numFmtId="0" fontId="12" fillId="2" borderId="0" xfId="0" applyFont="1" applyFill="1" applyAlignment="1">
      <alignment horizontal="center"/>
    </xf>
    <xf numFmtId="0" fontId="14" fillId="2" borderId="0" xfId="0" applyFont="1" applyFill="1"/>
    <xf numFmtId="0" fontId="0" fillId="2" borderId="8" xfId="0" applyFill="1" applyBorder="1" applyAlignment="1">
      <alignment horizontal="center"/>
    </xf>
    <xf numFmtId="164" fontId="11" fillId="2" borderId="0" xfId="0" applyNumberFormat="1" applyFont="1" applyFill="1" applyAlignment="1">
      <alignment horizontal="center"/>
    </xf>
    <xf numFmtId="0" fontId="13" fillId="2" borderId="5" xfId="0" applyFont="1" applyFill="1" applyBorder="1" applyAlignment="1">
      <alignment horizontal="center"/>
    </xf>
    <xf numFmtId="0" fontId="13" fillId="2" borderId="6" xfId="0" applyFont="1" applyFill="1" applyBorder="1" applyAlignment="1">
      <alignment horizontal="center"/>
    </xf>
    <xf numFmtId="0" fontId="13" fillId="2" borderId="7" xfId="0" applyFont="1" applyFill="1" applyBorder="1" applyAlignment="1">
      <alignment horizontal="center"/>
    </xf>
    <xf numFmtId="0" fontId="0" fillId="2" borderId="0" xfId="0" applyNumberFormat="1" applyFill="1" applyAlignment="1">
      <alignment horizontal="center"/>
    </xf>
    <xf numFmtId="0" fontId="8" fillId="2" borderId="2" xfId="0" applyFont="1" applyFill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2" fontId="11" fillId="2" borderId="0" xfId="0" applyNumberFormat="1" applyFont="1" applyFill="1" applyAlignment="1">
      <alignment horizontal="center"/>
    </xf>
    <xf numFmtId="0" fontId="0" fillId="0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VE"/>
  <c:chart>
    <c:title>
      <c:tx>
        <c:rich>
          <a:bodyPr/>
          <a:lstStyle/>
          <a:p>
            <a:pPr>
              <a:defRPr/>
            </a:pPr>
            <a:r>
              <a:rPr lang="es-VE"/>
              <a:t>Curva del sistema cambio de punto de operación</a:t>
            </a:r>
            <a:endParaRPr/>
          </a:p>
        </c:rich>
      </c:tx>
      <c:layout/>
    </c:title>
    <c:plotArea>
      <c:layout/>
      <c:lineChart>
        <c:grouping val="stacked"/>
        <c:ser>
          <c:idx val="0"/>
          <c:order val="0"/>
          <c:cat>
            <c:numRef>
              <c:f>Hoja1!$C$4:$C$11</c:f>
              <c:numCache>
                <c:formatCode>General</c:formatCode>
                <c:ptCount val="8"/>
                <c:pt idx="0">
                  <c:v>1</c:v>
                </c:pt>
                <c:pt idx="1">
                  <c:v>1.2250000000000001</c:v>
                </c:pt>
                <c:pt idx="2">
                  <c:v>1.4500000000000002</c:v>
                </c:pt>
                <c:pt idx="3">
                  <c:v>1.6750000000000003</c:v>
                </c:pt>
                <c:pt idx="4">
                  <c:v>1.9000000000000004</c:v>
                </c:pt>
                <c:pt idx="5">
                  <c:v>2.1250000000000004</c:v>
                </c:pt>
                <c:pt idx="6">
                  <c:v>2.3500000000000005</c:v>
                </c:pt>
                <c:pt idx="7">
                  <c:v>2.5750000000000006</c:v>
                </c:pt>
              </c:numCache>
            </c:numRef>
          </c:cat>
          <c:val>
            <c:numRef>
              <c:f>Hoja1!$E$4:$E$11</c:f>
              <c:numCache>
                <c:formatCode>General</c:formatCode>
                <c:ptCount val="8"/>
                <c:pt idx="0">
                  <c:v>3.1</c:v>
                </c:pt>
                <c:pt idx="1">
                  <c:v>3.024375</c:v>
                </c:pt>
                <c:pt idx="2">
                  <c:v>3.0218750000000001</c:v>
                </c:pt>
                <c:pt idx="3">
                  <c:v>2.99125</c:v>
                </c:pt>
                <c:pt idx="4">
                  <c:v>2.8312499999999998</c:v>
                </c:pt>
                <c:pt idx="5">
                  <c:v>2.4406249999999994</c:v>
                </c:pt>
                <c:pt idx="6">
                  <c:v>1.7181249999999983</c:v>
                </c:pt>
                <c:pt idx="7">
                  <c:v>0.56249999999999711</c:v>
                </c:pt>
              </c:numCache>
            </c:numRef>
          </c:val>
        </c:ser>
        <c:ser>
          <c:idx val="1"/>
          <c:order val="1"/>
          <c:cat>
            <c:numRef>
              <c:f>Hoja1!$C$4:$C$11</c:f>
              <c:numCache>
                <c:formatCode>General</c:formatCode>
                <c:ptCount val="8"/>
                <c:pt idx="0">
                  <c:v>1</c:v>
                </c:pt>
                <c:pt idx="1">
                  <c:v>1.2250000000000001</c:v>
                </c:pt>
                <c:pt idx="2">
                  <c:v>1.4500000000000002</c:v>
                </c:pt>
                <c:pt idx="3">
                  <c:v>1.6750000000000003</c:v>
                </c:pt>
                <c:pt idx="4">
                  <c:v>1.9000000000000004</c:v>
                </c:pt>
                <c:pt idx="5">
                  <c:v>2.1250000000000004</c:v>
                </c:pt>
                <c:pt idx="6">
                  <c:v>2.3500000000000005</c:v>
                </c:pt>
                <c:pt idx="7">
                  <c:v>2.5750000000000006</c:v>
                </c:pt>
              </c:numCache>
            </c:numRef>
          </c:cat>
          <c:val>
            <c:numRef>
              <c:f>Hoja1!$F$4:$F$11</c:f>
              <c:numCache>
                <c:formatCode>General</c:formatCode>
                <c:ptCount val="8"/>
                <c:pt idx="0">
                  <c:v>4.5</c:v>
                </c:pt>
                <c:pt idx="1">
                  <c:v>4.4243750000000004</c:v>
                </c:pt>
                <c:pt idx="2">
                  <c:v>4.421875</c:v>
                </c:pt>
                <c:pt idx="3">
                  <c:v>4.3912500000000003</c:v>
                </c:pt>
                <c:pt idx="4">
                  <c:v>4.2312500000000002</c:v>
                </c:pt>
                <c:pt idx="5">
                  <c:v>3.8406249999999997</c:v>
                </c:pt>
                <c:pt idx="6">
                  <c:v>3.1181249999999987</c:v>
                </c:pt>
                <c:pt idx="7">
                  <c:v>1.9624999999999975</c:v>
                </c:pt>
              </c:numCache>
            </c:numRef>
          </c:val>
        </c:ser>
        <c:marker val="1"/>
        <c:axId val="119031296"/>
        <c:axId val="119046144"/>
      </c:lineChart>
      <c:catAx>
        <c:axId val="11903129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VE"/>
                  <a:t>RPM</a:t>
                </a:r>
                <a:endParaRPr/>
              </a:p>
            </c:rich>
          </c:tx>
          <c:layout/>
        </c:title>
        <c:numFmt formatCode="General" sourceLinked="1"/>
        <c:tickLblPos val="nextTo"/>
        <c:crossAx val="119046144"/>
        <c:crosses val="autoZero"/>
        <c:auto val="1"/>
        <c:lblAlgn val="ctr"/>
        <c:lblOffset val="100"/>
      </c:catAx>
      <c:valAx>
        <c:axId val="119046144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s-VE"/>
                  <a:t>Presión</a:t>
                </a:r>
                <a:endParaRPr/>
              </a:p>
            </c:rich>
          </c:tx>
          <c:layout/>
        </c:title>
        <c:numFmt formatCode="General" sourceLinked="1"/>
        <c:tickLblPos val="nextTo"/>
        <c:crossAx val="11903129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VE"/>
  <c:chart>
    <c:title>
      <c:tx>
        <c:rich>
          <a:bodyPr/>
          <a:lstStyle/>
          <a:p>
            <a:pPr>
              <a:defRPr/>
            </a:pPr>
            <a:r>
              <a:rPr lang="es-VE"/>
              <a:t>Curva del sistema cambio de punto de operación</a:t>
            </a:r>
            <a:endParaRPr/>
          </a:p>
        </c:rich>
      </c:tx>
      <c:layout>
        <c:manualLayout>
          <c:xMode val="edge"/>
          <c:yMode val="edge"/>
          <c:x val="0.12344567129840152"/>
          <c:y val="0.11006290398285587"/>
        </c:manualLayout>
      </c:layout>
    </c:title>
    <c:plotArea>
      <c:layout/>
      <c:lineChart>
        <c:grouping val="stacked"/>
        <c:ser>
          <c:idx val="0"/>
          <c:order val="0"/>
          <c:cat>
            <c:numRef>
              <c:f>Hoja1!$C$4:$C$11</c:f>
              <c:numCache>
                <c:formatCode>General</c:formatCode>
                <c:ptCount val="8"/>
                <c:pt idx="0">
                  <c:v>1</c:v>
                </c:pt>
                <c:pt idx="1">
                  <c:v>1.2250000000000001</c:v>
                </c:pt>
                <c:pt idx="2">
                  <c:v>1.4500000000000002</c:v>
                </c:pt>
                <c:pt idx="3">
                  <c:v>1.6750000000000003</c:v>
                </c:pt>
                <c:pt idx="4">
                  <c:v>1.9000000000000004</c:v>
                </c:pt>
                <c:pt idx="5">
                  <c:v>2.1250000000000004</c:v>
                </c:pt>
                <c:pt idx="6">
                  <c:v>2.3500000000000005</c:v>
                </c:pt>
                <c:pt idx="7">
                  <c:v>2.5750000000000006</c:v>
                </c:pt>
              </c:numCache>
            </c:numRef>
          </c:cat>
          <c:val>
            <c:numRef>
              <c:f>Hoja1!$G$4:$G$11</c:f>
              <c:numCache>
                <c:formatCode>General</c:formatCode>
                <c:ptCount val="8"/>
                <c:pt idx="0">
                  <c:v>6</c:v>
                </c:pt>
                <c:pt idx="1">
                  <c:v>5.9243750000000004</c:v>
                </c:pt>
                <c:pt idx="2">
                  <c:v>5.921875</c:v>
                </c:pt>
                <c:pt idx="3">
                  <c:v>5.8912500000000003</c:v>
                </c:pt>
                <c:pt idx="4">
                  <c:v>5.7312500000000002</c:v>
                </c:pt>
                <c:pt idx="5">
                  <c:v>5.3406249999999993</c:v>
                </c:pt>
                <c:pt idx="6">
                  <c:v>4.6181249999999983</c:v>
                </c:pt>
                <c:pt idx="7">
                  <c:v>3.4624999999999968</c:v>
                </c:pt>
              </c:numCache>
            </c:numRef>
          </c:val>
        </c:ser>
        <c:ser>
          <c:idx val="1"/>
          <c:order val="1"/>
          <c:cat>
            <c:numRef>
              <c:f>Hoja1!$C$4:$C$11</c:f>
              <c:numCache>
                <c:formatCode>General</c:formatCode>
                <c:ptCount val="8"/>
                <c:pt idx="0">
                  <c:v>1</c:v>
                </c:pt>
                <c:pt idx="1">
                  <c:v>1.2250000000000001</c:v>
                </c:pt>
                <c:pt idx="2">
                  <c:v>1.4500000000000002</c:v>
                </c:pt>
                <c:pt idx="3">
                  <c:v>1.6750000000000003</c:v>
                </c:pt>
                <c:pt idx="4">
                  <c:v>1.9000000000000004</c:v>
                </c:pt>
                <c:pt idx="5">
                  <c:v>2.1250000000000004</c:v>
                </c:pt>
                <c:pt idx="6">
                  <c:v>2.3500000000000005</c:v>
                </c:pt>
                <c:pt idx="7">
                  <c:v>2.5750000000000006</c:v>
                </c:pt>
              </c:numCache>
            </c:numRef>
          </c:cat>
          <c:val>
            <c:numRef>
              <c:f>Hoja1!$E$4:$E$11</c:f>
              <c:numCache>
                <c:formatCode>General</c:formatCode>
                <c:ptCount val="8"/>
                <c:pt idx="0">
                  <c:v>3.1</c:v>
                </c:pt>
                <c:pt idx="1">
                  <c:v>3.024375</c:v>
                </c:pt>
                <c:pt idx="2">
                  <c:v>3.0218750000000001</c:v>
                </c:pt>
                <c:pt idx="3">
                  <c:v>2.99125</c:v>
                </c:pt>
                <c:pt idx="4">
                  <c:v>2.8312499999999998</c:v>
                </c:pt>
                <c:pt idx="5">
                  <c:v>2.4406249999999994</c:v>
                </c:pt>
                <c:pt idx="6">
                  <c:v>1.7181249999999983</c:v>
                </c:pt>
                <c:pt idx="7">
                  <c:v>0.56249999999999711</c:v>
                </c:pt>
              </c:numCache>
            </c:numRef>
          </c:val>
        </c:ser>
        <c:marker val="1"/>
        <c:axId val="119358208"/>
        <c:axId val="119360128"/>
      </c:lineChart>
      <c:catAx>
        <c:axId val="11935820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VE"/>
                  <a:t>RPM</a:t>
                </a:r>
                <a:endParaRPr/>
              </a:p>
            </c:rich>
          </c:tx>
          <c:layout/>
        </c:title>
        <c:numFmt formatCode="General" sourceLinked="1"/>
        <c:tickLblPos val="nextTo"/>
        <c:crossAx val="119360128"/>
        <c:crosses val="autoZero"/>
        <c:auto val="1"/>
        <c:lblAlgn val="ctr"/>
        <c:lblOffset val="100"/>
      </c:catAx>
      <c:valAx>
        <c:axId val="119360128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s-VE"/>
                  <a:t>Presión</a:t>
                </a:r>
                <a:endParaRPr/>
              </a:p>
            </c:rich>
          </c:tx>
          <c:layout/>
        </c:title>
        <c:numFmt formatCode="General" sourceLinked="1"/>
        <c:tickLblPos val="nextTo"/>
        <c:crossAx val="11935820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VE"/>
  <c:chart>
    <c:title>
      <c:tx>
        <c:rich>
          <a:bodyPr/>
          <a:lstStyle/>
          <a:p>
            <a:pPr>
              <a:defRPr/>
            </a:pPr>
            <a:r>
              <a:rPr lang="es-VE"/>
              <a:t>Curva del Compresor</a:t>
            </a:r>
            <a:endParaRPr/>
          </a:p>
        </c:rich>
      </c:tx>
      <c:layout/>
    </c:title>
    <c:plotArea>
      <c:layout/>
      <c:scatterChart>
        <c:scatterStyle val="smoothMarker"/>
        <c:ser>
          <c:idx val="0"/>
          <c:order val="0"/>
          <c:xVal>
            <c:numRef>
              <c:f>Hoja1!$C$4:$C$11</c:f>
              <c:numCache>
                <c:formatCode>General</c:formatCode>
                <c:ptCount val="8"/>
                <c:pt idx="0">
                  <c:v>1</c:v>
                </c:pt>
                <c:pt idx="1">
                  <c:v>1.2250000000000001</c:v>
                </c:pt>
                <c:pt idx="2">
                  <c:v>1.4500000000000002</c:v>
                </c:pt>
                <c:pt idx="3">
                  <c:v>1.6750000000000003</c:v>
                </c:pt>
                <c:pt idx="4">
                  <c:v>1.9000000000000004</c:v>
                </c:pt>
                <c:pt idx="5">
                  <c:v>2.1250000000000004</c:v>
                </c:pt>
                <c:pt idx="6">
                  <c:v>2.3500000000000005</c:v>
                </c:pt>
                <c:pt idx="7">
                  <c:v>2.5750000000000006</c:v>
                </c:pt>
              </c:numCache>
            </c:numRef>
          </c:xVal>
          <c:yVal>
            <c:numRef>
              <c:f>Hoja1!$D$4:$D$11</c:f>
              <c:numCache>
                <c:formatCode>General</c:formatCode>
                <c:ptCount val="8"/>
                <c:pt idx="0">
                  <c:v>2</c:v>
                </c:pt>
                <c:pt idx="1">
                  <c:v>1.9243749999999999</c:v>
                </c:pt>
                <c:pt idx="2">
                  <c:v>1.921875</c:v>
                </c:pt>
                <c:pt idx="3">
                  <c:v>1.8912499999999999</c:v>
                </c:pt>
                <c:pt idx="4">
                  <c:v>1.7312499999999995</c:v>
                </c:pt>
                <c:pt idx="5">
                  <c:v>1.3406249999999988</c:v>
                </c:pt>
                <c:pt idx="6">
                  <c:v>0.61812499999999793</c:v>
                </c:pt>
                <c:pt idx="7">
                  <c:v>-0.53750000000000331</c:v>
                </c:pt>
              </c:numCache>
            </c:numRef>
          </c:yVal>
          <c:smooth val="1"/>
        </c:ser>
        <c:ser>
          <c:idx val="1"/>
          <c:order val="1"/>
          <c:xVal>
            <c:numRef>
              <c:f>Hoja1!$C$4:$C$11</c:f>
              <c:numCache>
                <c:formatCode>General</c:formatCode>
                <c:ptCount val="8"/>
                <c:pt idx="0">
                  <c:v>1</c:v>
                </c:pt>
                <c:pt idx="1">
                  <c:v>1.2250000000000001</c:v>
                </c:pt>
                <c:pt idx="2">
                  <c:v>1.4500000000000002</c:v>
                </c:pt>
                <c:pt idx="3">
                  <c:v>1.6750000000000003</c:v>
                </c:pt>
                <c:pt idx="4">
                  <c:v>1.9000000000000004</c:v>
                </c:pt>
                <c:pt idx="5">
                  <c:v>2.1250000000000004</c:v>
                </c:pt>
                <c:pt idx="6">
                  <c:v>2.3500000000000005</c:v>
                </c:pt>
                <c:pt idx="7">
                  <c:v>2.5750000000000006</c:v>
                </c:pt>
              </c:numCache>
            </c:numRef>
          </c:xVal>
          <c:yVal>
            <c:numRef>
              <c:f>Hoja1!$Y$4:$Y$11</c:f>
              <c:numCache>
                <c:formatCode>General</c:formatCode>
                <c:ptCount val="8"/>
                <c:pt idx="0">
                  <c:v>0.2</c:v>
                </c:pt>
                <c:pt idx="1">
                  <c:v>0.20500000000000013</c:v>
                </c:pt>
                <c:pt idx="2">
                  <c:v>0.43500000000000033</c:v>
                </c:pt>
                <c:pt idx="3">
                  <c:v>0.89000000000000057</c:v>
                </c:pt>
                <c:pt idx="4">
                  <c:v>1.570000000000001</c:v>
                </c:pt>
                <c:pt idx="5">
                  <c:v>2.4750000000000014</c:v>
                </c:pt>
                <c:pt idx="6">
                  <c:v>3.6050000000000022</c:v>
                </c:pt>
                <c:pt idx="7">
                  <c:v>4.9600000000000026</c:v>
                </c:pt>
              </c:numCache>
            </c:numRef>
          </c:yVal>
          <c:smooth val="1"/>
        </c:ser>
        <c:axId val="119389568"/>
        <c:axId val="72029696"/>
      </c:scatterChart>
      <c:valAx>
        <c:axId val="11938956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VE"/>
                  <a:t>Flujo Másico</a:t>
                </a:r>
                <a:endParaRPr/>
              </a:p>
            </c:rich>
          </c:tx>
          <c:layout/>
        </c:title>
        <c:numFmt formatCode="General" sourceLinked="1"/>
        <c:tickLblPos val="nextTo"/>
        <c:crossAx val="72029696"/>
        <c:crosses val="autoZero"/>
        <c:crossBetween val="midCat"/>
      </c:valAx>
      <c:valAx>
        <c:axId val="72029696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s-VE"/>
                  <a:t>Relación de Compresión</a:t>
                </a:r>
                <a:endParaRPr/>
              </a:p>
            </c:rich>
          </c:tx>
          <c:layout/>
        </c:title>
        <c:numFmt formatCode="General" sourceLinked="1"/>
        <c:tickLblPos val="nextTo"/>
        <c:crossAx val="119389568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VE"/>
  <c:chart>
    <c:title>
      <c:tx>
        <c:rich>
          <a:bodyPr/>
          <a:lstStyle/>
          <a:p>
            <a:pPr>
              <a:defRPr/>
            </a:pPr>
            <a:r>
              <a:rPr lang="es-VE"/>
              <a:t>Curva del sistema cambio de punto de operación</a:t>
            </a:r>
            <a:endParaRPr/>
          </a:p>
        </c:rich>
      </c:tx>
      <c:layout/>
    </c:title>
    <c:plotArea>
      <c:layout/>
      <c:scatterChart>
        <c:scatterStyle val="smoothMarker"/>
        <c:ser>
          <c:idx val="0"/>
          <c:order val="0"/>
          <c:xVal>
            <c:numRef>
              <c:f>Hoja1!$C$4:$C$11</c:f>
              <c:numCache>
                <c:formatCode>General</c:formatCode>
                <c:ptCount val="8"/>
                <c:pt idx="0">
                  <c:v>1</c:v>
                </c:pt>
                <c:pt idx="1">
                  <c:v>1.2250000000000001</c:v>
                </c:pt>
                <c:pt idx="2">
                  <c:v>1.4500000000000002</c:v>
                </c:pt>
                <c:pt idx="3">
                  <c:v>1.6750000000000003</c:v>
                </c:pt>
                <c:pt idx="4">
                  <c:v>1.9000000000000004</c:v>
                </c:pt>
                <c:pt idx="5">
                  <c:v>2.1250000000000004</c:v>
                </c:pt>
                <c:pt idx="6">
                  <c:v>2.3500000000000005</c:v>
                </c:pt>
                <c:pt idx="7">
                  <c:v>2.5750000000000006</c:v>
                </c:pt>
              </c:numCache>
            </c:numRef>
          </c:xVal>
          <c:yVal>
            <c:numRef>
              <c:f>Hoja1!$D$4:$D$11</c:f>
              <c:numCache>
                <c:formatCode>General</c:formatCode>
                <c:ptCount val="8"/>
                <c:pt idx="0">
                  <c:v>2</c:v>
                </c:pt>
                <c:pt idx="1">
                  <c:v>1.9243749999999999</c:v>
                </c:pt>
                <c:pt idx="2">
                  <c:v>1.921875</c:v>
                </c:pt>
                <c:pt idx="3">
                  <c:v>1.8912499999999999</c:v>
                </c:pt>
                <c:pt idx="4">
                  <c:v>1.7312499999999995</c:v>
                </c:pt>
                <c:pt idx="5">
                  <c:v>1.3406249999999988</c:v>
                </c:pt>
                <c:pt idx="6">
                  <c:v>0.61812499999999793</c:v>
                </c:pt>
                <c:pt idx="7">
                  <c:v>-0.53750000000000331</c:v>
                </c:pt>
              </c:numCache>
            </c:numRef>
          </c:yVal>
          <c:smooth val="1"/>
        </c:ser>
        <c:ser>
          <c:idx val="1"/>
          <c:order val="1"/>
          <c:xVal>
            <c:numRef>
              <c:f>Hoja1!$H$4:$H$1048576</c:f>
              <c:numCache>
                <c:formatCode>General</c:formatCode>
                <c:ptCount val="1048573"/>
              </c:numCache>
            </c:numRef>
          </c:xVal>
          <c:yVal>
            <c:numRef>
              <c:f>Hoja1!$E$4:$E$11</c:f>
              <c:numCache>
                <c:formatCode>General</c:formatCode>
                <c:ptCount val="8"/>
                <c:pt idx="0">
                  <c:v>3.1</c:v>
                </c:pt>
                <c:pt idx="1">
                  <c:v>3.024375</c:v>
                </c:pt>
                <c:pt idx="2">
                  <c:v>3.0218750000000001</c:v>
                </c:pt>
                <c:pt idx="3">
                  <c:v>2.99125</c:v>
                </c:pt>
                <c:pt idx="4">
                  <c:v>2.8312499999999998</c:v>
                </c:pt>
                <c:pt idx="5">
                  <c:v>2.4406249999999994</c:v>
                </c:pt>
                <c:pt idx="6">
                  <c:v>1.7181249999999983</c:v>
                </c:pt>
                <c:pt idx="7">
                  <c:v>0.56249999999999711</c:v>
                </c:pt>
              </c:numCache>
            </c:numRef>
          </c:yVal>
          <c:smooth val="1"/>
        </c:ser>
        <c:axId val="72042752"/>
        <c:axId val="72057216"/>
      </c:scatterChart>
      <c:valAx>
        <c:axId val="7204275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VE"/>
                  <a:t>RPM</a:t>
                </a:r>
                <a:endParaRPr/>
              </a:p>
            </c:rich>
          </c:tx>
          <c:layout/>
        </c:title>
        <c:numFmt formatCode="General" sourceLinked="1"/>
        <c:tickLblPos val="nextTo"/>
        <c:crossAx val="72057216"/>
        <c:crosses val="autoZero"/>
        <c:crossBetween val="midCat"/>
      </c:valAx>
      <c:valAx>
        <c:axId val="72057216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s-VE"/>
                  <a:t>Presión</a:t>
                </a:r>
                <a:endParaRPr/>
              </a:p>
            </c:rich>
          </c:tx>
          <c:layout/>
        </c:title>
        <c:numFmt formatCode="General" sourceLinked="1"/>
        <c:tickLblPos val="nextTo"/>
        <c:crossAx val="72042752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VE"/>
  <c:chart>
    <c:title>
      <c:tx>
        <c:rich>
          <a:bodyPr/>
          <a:lstStyle/>
          <a:p>
            <a:pPr>
              <a:defRPr/>
            </a:pPr>
            <a:r>
              <a:rPr lang="es-VE"/>
              <a:t>Curva del Compresor</a:t>
            </a:r>
            <a:endParaRPr/>
          </a:p>
        </c:rich>
      </c:tx>
      <c:layout/>
    </c:title>
    <c:plotArea>
      <c:layout/>
      <c:scatterChart>
        <c:scatterStyle val="smoothMarker"/>
        <c:ser>
          <c:idx val="0"/>
          <c:order val="0"/>
          <c:xVal>
            <c:numRef>
              <c:f>Hoja1!$C$4:$C$11</c:f>
              <c:numCache>
                <c:formatCode>General</c:formatCode>
                <c:ptCount val="8"/>
                <c:pt idx="0">
                  <c:v>1</c:v>
                </c:pt>
                <c:pt idx="1">
                  <c:v>1.2250000000000001</c:v>
                </c:pt>
                <c:pt idx="2">
                  <c:v>1.4500000000000002</c:v>
                </c:pt>
                <c:pt idx="3">
                  <c:v>1.6750000000000003</c:v>
                </c:pt>
                <c:pt idx="4">
                  <c:v>1.9000000000000004</c:v>
                </c:pt>
                <c:pt idx="5">
                  <c:v>2.1250000000000004</c:v>
                </c:pt>
                <c:pt idx="6">
                  <c:v>2.3500000000000005</c:v>
                </c:pt>
                <c:pt idx="7">
                  <c:v>2.5750000000000006</c:v>
                </c:pt>
              </c:numCache>
            </c:numRef>
          </c:xVal>
          <c:yVal>
            <c:numRef>
              <c:f>Hoja1!$D$4:$D$11</c:f>
              <c:numCache>
                <c:formatCode>General</c:formatCode>
                <c:ptCount val="8"/>
                <c:pt idx="0">
                  <c:v>2</c:v>
                </c:pt>
                <c:pt idx="1">
                  <c:v>1.9243749999999999</c:v>
                </c:pt>
                <c:pt idx="2">
                  <c:v>1.921875</c:v>
                </c:pt>
                <c:pt idx="3">
                  <c:v>1.8912499999999999</c:v>
                </c:pt>
                <c:pt idx="4">
                  <c:v>1.7312499999999995</c:v>
                </c:pt>
                <c:pt idx="5">
                  <c:v>1.3406249999999988</c:v>
                </c:pt>
                <c:pt idx="6">
                  <c:v>0.61812499999999793</c:v>
                </c:pt>
                <c:pt idx="7">
                  <c:v>-0.53750000000000331</c:v>
                </c:pt>
              </c:numCache>
            </c:numRef>
          </c:yVal>
          <c:smooth val="1"/>
        </c:ser>
        <c:ser>
          <c:idx val="1"/>
          <c:order val="1"/>
          <c:xVal>
            <c:numRef>
              <c:f>Hoja1!$C$4:$C$11</c:f>
              <c:numCache>
                <c:formatCode>General</c:formatCode>
                <c:ptCount val="8"/>
                <c:pt idx="0">
                  <c:v>1</c:v>
                </c:pt>
                <c:pt idx="1">
                  <c:v>1.2250000000000001</c:v>
                </c:pt>
                <c:pt idx="2">
                  <c:v>1.4500000000000002</c:v>
                </c:pt>
                <c:pt idx="3">
                  <c:v>1.6750000000000003</c:v>
                </c:pt>
                <c:pt idx="4">
                  <c:v>1.9000000000000004</c:v>
                </c:pt>
                <c:pt idx="5">
                  <c:v>2.1250000000000004</c:v>
                </c:pt>
                <c:pt idx="6">
                  <c:v>2.3500000000000005</c:v>
                </c:pt>
                <c:pt idx="7">
                  <c:v>2.5750000000000006</c:v>
                </c:pt>
              </c:numCache>
            </c:numRef>
          </c:xVal>
          <c:yVal>
            <c:numRef>
              <c:f>Hoja1!$F$4:$F$11</c:f>
              <c:numCache>
                <c:formatCode>General</c:formatCode>
                <c:ptCount val="8"/>
                <c:pt idx="0">
                  <c:v>4.5</c:v>
                </c:pt>
                <c:pt idx="1">
                  <c:v>4.4243750000000004</c:v>
                </c:pt>
                <c:pt idx="2">
                  <c:v>4.421875</c:v>
                </c:pt>
                <c:pt idx="3">
                  <c:v>4.3912500000000003</c:v>
                </c:pt>
                <c:pt idx="4">
                  <c:v>4.2312500000000002</c:v>
                </c:pt>
                <c:pt idx="5">
                  <c:v>3.8406249999999997</c:v>
                </c:pt>
                <c:pt idx="6">
                  <c:v>3.1181249999999987</c:v>
                </c:pt>
                <c:pt idx="7">
                  <c:v>1.9624999999999975</c:v>
                </c:pt>
              </c:numCache>
            </c:numRef>
          </c:yVal>
          <c:smooth val="1"/>
        </c:ser>
        <c:ser>
          <c:idx val="2"/>
          <c:order val="2"/>
          <c:xVal>
            <c:numRef>
              <c:f>Hoja1!$C$4:$C$11</c:f>
              <c:numCache>
                <c:formatCode>General</c:formatCode>
                <c:ptCount val="8"/>
                <c:pt idx="0">
                  <c:v>1</c:v>
                </c:pt>
                <c:pt idx="1">
                  <c:v>1.2250000000000001</c:v>
                </c:pt>
                <c:pt idx="2">
                  <c:v>1.4500000000000002</c:v>
                </c:pt>
                <c:pt idx="3">
                  <c:v>1.6750000000000003</c:v>
                </c:pt>
                <c:pt idx="4">
                  <c:v>1.9000000000000004</c:v>
                </c:pt>
                <c:pt idx="5">
                  <c:v>2.1250000000000004</c:v>
                </c:pt>
                <c:pt idx="6">
                  <c:v>2.3500000000000005</c:v>
                </c:pt>
                <c:pt idx="7">
                  <c:v>2.5750000000000006</c:v>
                </c:pt>
              </c:numCache>
            </c:numRef>
          </c:xVal>
          <c:yVal>
            <c:numRef>
              <c:f>Hoja1!$Y$4:$Y$11</c:f>
              <c:numCache>
                <c:formatCode>General</c:formatCode>
                <c:ptCount val="8"/>
                <c:pt idx="0">
                  <c:v>0.2</c:v>
                </c:pt>
                <c:pt idx="1">
                  <c:v>0.20500000000000013</c:v>
                </c:pt>
                <c:pt idx="2">
                  <c:v>0.43500000000000033</c:v>
                </c:pt>
                <c:pt idx="3">
                  <c:v>0.89000000000000057</c:v>
                </c:pt>
                <c:pt idx="4">
                  <c:v>1.570000000000001</c:v>
                </c:pt>
                <c:pt idx="5">
                  <c:v>2.4750000000000014</c:v>
                </c:pt>
                <c:pt idx="6">
                  <c:v>3.6050000000000022</c:v>
                </c:pt>
                <c:pt idx="7">
                  <c:v>4.9600000000000026</c:v>
                </c:pt>
              </c:numCache>
            </c:numRef>
          </c:yVal>
          <c:smooth val="1"/>
        </c:ser>
        <c:axId val="147519360"/>
        <c:axId val="147537920"/>
      </c:scatterChart>
      <c:valAx>
        <c:axId val="14751936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VE"/>
                  <a:t>Flujo Másico</a:t>
                </a:r>
                <a:endParaRPr/>
              </a:p>
            </c:rich>
          </c:tx>
          <c:layout/>
        </c:title>
        <c:numFmt formatCode="General" sourceLinked="1"/>
        <c:tickLblPos val="nextTo"/>
        <c:crossAx val="147537920"/>
        <c:crosses val="autoZero"/>
        <c:crossBetween val="midCat"/>
      </c:valAx>
      <c:valAx>
        <c:axId val="147537920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s-VE"/>
                  <a:t>Relación de Compresión</a:t>
                </a:r>
                <a:endParaRPr/>
              </a:p>
            </c:rich>
          </c:tx>
          <c:layout/>
        </c:title>
        <c:numFmt formatCode="General" sourceLinked="1"/>
        <c:tickLblPos val="nextTo"/>
        <c:crossAx val="147519360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VE"/>
  <c:chart>
    <c:title>
      <c:tx>
        <c:rich>
          <a:bodyPr/>
          <a:lstStyle/>
          <a:p>
            <a:pPr>
              <a:defRPr/>
            </a:pPr>
            <a:r>
              <a:rPr lang="es-VE"/>
              <a:t>Curva del Compresor</a:t>
            </a:r>
            <a:endParaRPr/>
          </a:p>
        </c:rich>
      </c:tx>
      <c:layout/>
    </c:title>
    <c:plotArea>
      <c:layout/>
      <c:scatterChart>
        <c:scatterStyle val="smoothMarker"/>
        <c:ser>
          <c:idx val="0"/>
          <c:order val="0"/>
          <c:xVal>
            <c:numRef>
              <c:f>Hoja1!$C$4:$C$11</c:f>
              <c:numCache>
                <c:formatCode>General</c:formatCode>
                <c:ptCount val="8"/>
                <c:pt idx="0">
                  <c:v>1</c:v>
                </c:pt>
                <c:pt idx="1">
                  <c:v>1.2250000000000001</c:v>
                </c:pt>
                <c:pt idx="2">
                  <c:v>1.4500000000000002</c:v>
                </c:pt>
                <c:pt idx="3">
                  <c:v>1.6750000000000003</c:v>
                </c:pt>
                <c:pt idx="4">
                  <c:v>1.9000000000000004</c:v>
                </c:pt>
                <c:pt idx="5">
                  <c:v>2.1250000000000004</c:v>
                </c:pt>
                <c:pt idx="6">
                  <c:v>2.3500000000000005</c:v>
                </c:pt>
                <c:pt idx="7">
                  <c:v>2.5750000000000006</c:v>
                </c:pt>
              </c:numCache>
            </c:numRef>
          </c:xVal>
          <c:yVal>
            <c:numRef>
              <c:f>Hoja1!$D$4:$D$11</c:f>
              <c:numCache>
                <c:formatCode>General</c:formatCode>
                <c:ptCount val="8"/>
                <c:pt idx="0">
                  <c:v>2</c:v>
                </c:pt>
                <c:pt idx="1">
                  <c:v>1.9243749999999999</c:v>
                </c:pt>
                <c:pt idx="2">
                  <c:v>1.921875</c:v>
                </c:pt>
                <c:pt idx="3">
                  <c:v>1.8912499999999999</c:v>
                </c:pt>
                <c:pt idx="4">
                  <c:v>1.7312499999999995</c:v>
                </c:pt>
                <c:pt idx="5">
                  <c:v>1.3406249999999988</c:v>
                </c:pt>
                <c:pt idx="6">
                  <c:v>0.61812499999999793</c:v>
                </c:pt>
                <c:pt idx="7">
                  <c:v>-0.53750000000000331</c:v>
                </c:pt>
              </c:numCache>
            </c:numRef>
          </c:yVal>
          <c:smooth val="1"/>
        </c:ser>
        <c:ser>
          <c:idx val="1"/>
          <c:order val="1"/>
          <c:xVal>
            <c:numRef>
              <c:f>Hoja1!$C$4:$C$11</c:f>
              <c:numCache>
                <c:formatCode>General</c:formatCode>
                <c:ptCount val="8"/>
                <c:pt idx="0">
                  <c:v>1</c:v>
                </c:pt>
                <c:pt idx="1">
                  <c:v>1.2250000000000001</c:v>
                </c:pt>
                <c:pt idx="2">
                  <c:v>1.4500000000000002</c:v>
                </c:pt>
                <c:pt idx="3">
                  <c:v>1.6750000000000003</c:v>
                </c:pt>
                <c:pt idx="4">
                  <c:v>1.9000000000000004</c:v>
                </c:pt>
                <c:pt idx="5">
                  <c:v>2.1250000000000004</c:v>
                </c:pt>
                <c:pt idx="6">
                  <c:v>2.3500000000000005</c:v>
                </c:pt>
                <c:pt idx="7">
                  <c:v>2.5750000000000006</c:v>
                </c:pt>
              </c:numCache>
            </c:numRef>
          </c:xVal>
          <c:yVal>
            <c:numRef>
              <c:f>Hoja1!$Y$4:$Y$11</c:f>
              <c:numCache>
                <c:formatCode>General</c:formatCode>
                <c:ptCount val="8"/>
                <c:pt idx="0">
                  <c:v>0.2</c:v>
                </c:pt>
                <c:pt idx="1">
                  <c:v>0.20500000000000013</c:v>
                </c:pt>
                <c:pt idx="2">
                  <c:v>0.43500000000000033</c:v>
                </c:pt>
                <c:pt idx="3">
                  <c:v>0.89000000000000057</c:v>
                </c:pt>
                <c:pt idx="4">
                  <c:v>1.570000000000001</c:v>
                </c:pt>
                <c:pt idx="5">
                  <c:v>2.4750000000000014</c:v>
                </c:pt>
                <c:pt idx="6">
                  <c:v>3.6050000000000022</c:v>
                </c:pt>
                <c:pt idx="7">
                  <c:v>4.9600000000000026</c:v>
                </c:pt>
              </c:numCache>
            </c:numRef>
          </c:yVal>
          <c:smooth val="1"/>
        </c:ser>
        <c:axId val="147579648"/>
        <c:axId val="147581568"/>
      </c:scatterChart>
      <c:valAx>
        <c:axId val="14757964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VE"/>
                  <a:t>Flujo Másico</a:t>
                </a:r>
                <a:endParaRPr/>
              </a:p>
            </c:rich>
          </c:tx>
          <c:layout/>
        </c:title>
        <c:numFmt formatCode="General" sourceLinked="1"/>
        <c:tickLblPos val="nextTo"/>
        <c:crossAx val="147581568"/>
        <c:crosses val="autoZero"/>
        <c:crossBetween val="midCat"/>
      </c:valAx>
      <c:valAx>
        <c:axId val="147581568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s-VE"/>
                  <a:t>Relación de Compresión</a:t>
                </a:r>
                <a:endParaRPr/>
              </a:p>
            </c:rich>
          </c:tx>
          <c:layout/>
        </c:title>
        <c:numFmt formatCode="General" sourceLinked="1"/>
        <c:tickLblPos val="nextTo"/>
        <c:crossAx val="147579648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VE"/>
  <c:chart>
    <c:title>
      <c:tx>
        <c:rich>
          <a:bodyPr/>
          <a:lstStyle/>
          <a:p>
            <a:pPr>
              <a:defRPr/>
            </a:pPr>
            <a:r>
              <a:rPr lang="es-VE"/>
              <a:t>Curva del sistema cambio de punto de operación</a:t>
            </a:r>
            <a:endParaRPr/>
          </a:p>
        </c:rich>
      </c:tx>
      <c:layout/>
    </c:title>
    <c:plotArea>
      <c:layout/>
      <c:scatterChart>
        <c:scatterStyle val="smoothMarker"/>
        <c:ser>
          <c:idx val="0"/>
          <c:order val="0"/>
          <c:xVal>
            <c:numRef>
              <c:f>Hoja1!$C$4:$C$11</c:f>
              <c:numCache>
                <c:formatCode>General</c:formatCode>
                <c:ptCount val="8"/>
                <c:pt idx="0">
                  <c:v>1</c:v>
                </c:pt>
                <c:pt idx="1">
                  <c:v>1.2250000000000001</c:v>
                </c:pt>
                <c:pt idx="2">
                  <c:v>1.4500000000000002</c:v>
                </c:pt>
                <c:pt idx="3">
                  <c:v>1.6750000000000003</c:v>
                </c:pt>
                <c:pt idx="4">
                  <c:v>1.9000000000000004</c:v>
                </c:pt>
                <c:pt idx="5">
                  <c:v>2.1250000000000004</c:v>
                </c:pt>
                <c:pt idx="6">
                  <c:v>2.3500000000000005</c:v>
                </c:pt>
                <c:pt idx="7">
                  <c:v>2.5750000000000006</c:v>
                </c:pt>
              </c:numCache>
            </c:numRef>
          </c:xVal>
          <c:yVal>
            <c:numRef>
              <c:f>Hoja1!$D$4:$D$11</c:f>
              <c:numCache>
                <c:formatCode>General</c:formatCode>
                <c:ptCount val="8"/>
                <c:pt idx="0">
                  <c:v>2</c:v>
                </c:pt>
                <c:pt idx="1">
                  <c:v>1.9243749999999999</c:v>
                </c:pt>
                <c:pt idx="2">
                  <c:v>1.921875</c:v>
                </c:pt>
                <c:pt idx="3">
                  <c:v>1.8912499999999999</c:v>
                </c:pt>
                <c:pt idx="4">
                  <c:v>1.7312499999999995</c:v>
                </c:pt>
                <c:pt idx="5">
                  <c:v>1.3406249999999988</c:v>
                </c:pt>
                <c:pt idx="6">
                  <c:v>0.61812499999999793</c:v>
                </c:pt>
                <c:pt idx="7">
                  <c:v>-0.53750000000000331</c:v>
                </c:pt>
              </c:numCache>
            </c:numRef>
          </c:yVal>
          <c:smooth val="1"/>
        </c:ser>
        <c:ser>
          <c:idx val="1"/>
          <c:order val="1"/>
          <c:xVal>
            <c:numRef>
              <c:f>Hoja1!$H$4:$H$1048576</c:f>
              <c:numCache>
                <c:formatCode>General</c:formatCode>
                <c:ptCount val="1048573"/>
              </c:numCache>
            </c:numRef>
          </c:xVal>
          <c:yVal>
            <c:numRef>
              <c:f>Hoja1!$E$4:$E$11</c:f>
              <c:numCache>
                <c:formatCode>General</c:formatCode>
                <c:ptCount val="8"/>
                <c:pt idx="0">
                  <c:v>3.1</c:v>
                </c:pt>
                <c:pt idx="1">
                  <c:v>3.024375</c:v>
                </c:pt>
                <c:pt idx="2">
                  <c:v>3.0218750000000001</c:v>
                </c:pt>
                <c:pt idx="3">
                  <c:v>2.99125</c:v>
                </c:pt>
                <c:pt idx="4">
                  <c:v>2.8312499999999998</c:v>
                </c:pt>
                <c:pt idx="5">
                  <c:v>2.4406249999999994</c:v>
                </c:pt>
                <c:pt idx="6">
                  <c:v>1.7181249999999983</c:v>
                </c:pt>
                <c:pt idx="7">
                  <c:v>0.56249999999999711</c:v>
                </c:pt>
              </c:numCache>
            </c:numRef>
          </c:yVal>
          <c:smooth val="1"/>
        </c:ser>
        <c:axId val="147606912"/>
        <c:axId val="147629568"/>
      </c:scatterChart>
      <c:valAx>
        <c:axId val="14760691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VE"/>
                  <a:t>RPM</a:t>
                </a:r>
                <a:endParaRPr/>
              </a:p>
            </c:rich>
          </c:tx>
          <c:layout/>
        </c:title>
        <c:numFmt formatCode="General" sourceLinked="1"/>
        <c:tickLblPos val="nextTo"/>
        <c:crossAx val="147629568"/>
        <c:crosses val="autoZero"/>
        <c:crossBetween val="midCat"/>
      </c:valAx>
      <c:valAx>
        <c:axId val="147629568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s-VE"/>
                  <a:t>Presión</a:t>
                </a:r>
                <a:endParaRPr/>
              </a:p>
            </c:rich>
          </c:tx>
          <c:layout/>
        </c:title>
        <c:numFmt formatCode="General" sourceLinked="1"/>
        <c:tickLblPos val="nextTo"/>
        <c:crossAx val="147606912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VE"/>
  <c:chart>
    <c:title>
      <c:tx>
        <c:rich>
          <a:bodyPr/>
          <a:lstStyle/>
          <a:p>
            <a:pPr>
              <a:defRPr/>
            </a:pPr>
            <a:r>
              <a:rPr lang="es-VE"/>
              <a:t>Curva del Compresor</a:t>
            </a:r>
            <a:endParaRPr/>
          </a:p>
        </c:rich>
      </c:tx>
      <c:layout/>
    </c:title>
    <c:plotArea>
      <c:layout/>
      <c:scatterChart>
        <c:scatterStyle val="smoothMarker"/>
        <c:ser>
          <c:idx val="0"/>
          <c:order val="0"/>
          <c:xVal>
            <c:numRef>
              <c:f>Hoja1!$AD$4:$AD$11</c:f>
              <c:numCache>
                <c:formatCode>General</c:formatCode>
                <c:ptCount val="8"/>
                <c:pt idx="0">
                  <c:v>1</c:v>
                </c:pt>
                <c:pt idx="1">
                  <c:v>1.2250000000000001</c:v>
                </c:pt>
                <c:pt idx="2">
                  <c:v>1.4500000000000002</c:v>
                </c:pt>
                <c:pt idx="3">
                  <c:v>1.6750000000000003</c:v>
                </c:pt>
                <c:pt idx="4">
                  <c:v>1.9000000000000004</c:v>
                </c:pt>
                <c:pt idx="5">
                  <c:v>2.1250000000000004</c:v>
                </c:pt>
                <c:pt idx="6">
                  <c:v>2.3500000000000005</c:v>
                </c:pt>
                <c:pt idx="7">
                  <c:v>2.5750000000000006</c:v>
                </c:pt>
              </c:numCache>
            </c:numRef>
          </c:xVal>
          <c:yVal>
            <c:numRef>
              <c:f>Hoja1!$D$4:$D$11</c:f>
              <c:numCache>
                <c:formatCode>General</c:formatCode>
                <c:ptCount val="8"/>
                <c:pt idx="0">
                  <c:v>2</c:v>
                </c:pt>
                <c:pt idx="1">
                  <c:v>1.9243749999999999</c:v>
                </c:pt>
                <c:pt idx="2">
                  <c:v>1.921875</c:v>
                </c:pt>
                <c:pt idx="3">
                  <c:v>1.8912499999999999</c:v>
                </c:pt>
                <c:pt idx="4">
                  <c:v>1.7312499999999995</c:v>
                </c:pt>
                <c:pt idx="5">
                  <c:v>1.3406249999999988</c:v>
                </c:pt>
                <c:pt idx="6">
                  <c:v>0.61812499999999793</c:v>
                </c:pt>
                <c:pt idx="7">
                  <c:v>-0.53750000000000331</c:v>
                </c:pt>
              </c:numCache>
            </c:numRef>
          </c:yVal>
          <c:smooth val="1"/>
        </c:ser>
        <c:ser>
          <c:idx val="1"/>
          <c:order val="1"/>
          <c:xVal>
            <c:numRef>
              <c:f>Hoja1!$AE$4:$AE$11</c:f>
              <c:numCache>
                <c:formatCode>General</c:formatCode>
                <c:ptCount val="8"/>
                <c:pt idx="0">
                  <c:v>1.25</c:v>
                </c:pt>
                <c:pt idx="1">
                  <c:v>1.4750000000000001</c:v>
                </c:pt>
                <c:pt idx="2">
                  <c:v>1.7000000000000002</c:v>
                </c:pt>
                <c:pt idx="3">
                  <c:v>1.9250000000000003</c:v>
                </c:pt>
                <c:pt idx="4">
                  <c:v>2.1500000000000004</c:v>
                </c:pt>
                <c:pt idx="5">
                  <c:v>2.3750000000000004</c:v>
                </c:pt>
                <c:pt idx="6">
                  <c:v>2.6000000000000005</c:v>
                </c:pt>
                <c:pt idx="7">
                  <c:v>2.8250000000000006</c:v>
                </c:pt>
              </c:numCache>
            </c:numRef>
          </c:xVal>
          <c:yVal>
            <c:numRef>
              <c:f>Hoja1!$E$4:$E$11</c:f>
              <c:numCache>
                <c:formatCode>General</c:formatCode>
                <c:ptCount val="8"/>
                <c:pt idx="0">
                  <c:v>3.1</c:v>
                </c:pt>
                <c:pt idx="1">
                  <c:v>3.024375</c:v>
                </c:pt>
                <c:pt idx="2">
                  <c:v>3.0218750000000001</c:v>
                </c:pt>
                <c:pt idx="3">
                  <c:v>2.99125</c:v>
                </c:pt>
                <c:pt idx="4">
                  <c:v>2.8312499999999998</c:v>
                </c:pt>
                <c:pt idx="5">
                  <c:v>2.4406249999999994</c:v>
                </c:pt>
                <c:pt idx="6">
                  <c:v>1.7181249999999983</c:v>
                </c:pt>
                <c:pt idx="7">
                  <c:v>0.56249999999999711</c:v>
                </c:pt>
              </c:numCache>
            </c:numRef>
          </c:yVal>
          <c:smooth val="1"/>
        </c:ser>
        <c:ser>
          <c:idx val="2"/>
          <c:order val="2"/>
          <c:xVal>
            <c:numRef>
              <c:f>Hoja1!$AF$4:$AF$11</c:f>
              <c:numCache>
                <c:formatCode>General</c:formatCode>
                <c:ptCount val="8"/>
                <c:pt idx="0">
                  <c:v>1.35</c:v>
                </c:pt>
                <c:pt idx="1">
                  <c:v>1.5750000000000002</c:v>
                </c:pt>
                <c:pt idx="2">
                  <c:v>1.8000000000000003</c:v>
                </c:pt>
                <c:pt idx="3">
                  <c:v>2.0250000000000004</c:v>
                </c:pt>
                <c:pt idx="4">
                  <c:v>2.2500000000000004</c:v>
                </c:pt>
                <c:pt idx="5">
                  <c:v>2.4750000000000005</c:v>
                </c:pt>
                <c:pt idx="6">
                  <c:v>2.7000000000000006</c:v>
                </c:pt>
                <c:pt idx="7">
                  <c:v>2.9250000000000007</c:v>
                </c:pt>
              </c:numCache>
            </c:numRef>
          </c:xVal>
          <c:yVal>
            <c:numRef>
              <c:f>Hoja1!$F$4:$F$11</c:f>
              <c:numCache>
                <c:formatCode>General</c:formatCode>
                <c:ptCount val="8"/>
                <c:pt idx="0">
                  <c:v>4.5</c:v>
                </c:pt>
                <c:pt idx="1">
                  <c:v>4.4243750000000004</c:v>
                </c:pt>
                <c:pt idx="2">
                  <c:v>4.421875</c:v>
                </c:pt>
                <c:pt idx="3">
                  <c:v>4.3912500000000003</c:v>
                </c:pt>
                <c:pt idx="4">
                  <c:v>4.2312500000000002</c:v>
                </c:pt>
                <c:pt idx="5">
                  <c:v>3.8406249999999997</c:v>
                </c:pt>
                <c:pt idx="6">
                  <c:v>3.1181249999999987</c:v>
                </c:pt>
                <c:pt idx="7">
                  <c:v>1.9624999999999975</c:v>
                </c:pt>
              </c:numCache>
            </c:numRef>
          </c:yVal>
          <c:smooth val="1"/>
        </c:ser>
        <c:ser>
          <c:idx val="3"/>
          <c:order val="3"/>
          <c:xVal>
            <c:numRef>
              <c:f>Hoja1!$AG$4:$AG$11</c:f>
              <c:numCache>
                <c:formatCode>General</c:formatCode>
                <c:ptCount val="8"/>
                <c:pt idx="0">
                  <c:v>1.5</c:v>
                </c:pt>
                <c:pt idx="1">
                  <c:v>1.7250000000000001</c:v>
                </c:pt>
                <c:pt idx="2">
                  <c:v>1.9500000000000002</c:v>
                </c:pt>
                <c:pt idx="3">
                  <c:v>2.1750000000000003</c:v>
                </c:pt>
                <c:pt idx="4">
                  <c:v>2.4000000000000004</c:v>
                </c:pt>
                <c:pt idx="5">
                  <c:v>2.6250000000000004</c:v>
                </c:pt>
                <c:pt idx="6">
                  <c:v>2.8500000000000005</c:v>
                </c:pt>
                <c:pt idx="7">
                  <c:v>3.0750000000000006</c:v>
                </c:pt>
              </c:numCache>
            </c:numRef>
          </c:xVal>
          <c:yVal>
            <c:numRef>
              <c:f>Hoja1!$G$4:$G$11</c:f>
              <c:numCache>
                <c:formatCode>General</c:formatCode>
                <c:ptCount val="8"/>
                <c:pt idx="0">
                  <c:v>6</c:v>
                </c:pt>
                <c:pt idx="1">
                  <c:v>5.9243750000000004</c:v>
                </c:pt>
                <c:pt idx="2">
                  <c:v>5.921875</c:v>
                </c:pt>
                <c:pt idx="3">
                  <c:v>5.8912500000000003</c:v>
                </c:pt>
                <c:pt idx="4">
                  <c:v>5.7312500000000002</c:v>
                </c:pt>
                <c:pt idx="5">
                  <c:v>5.3406249999999993</c:v>
                </c:pt>
                <c:pt idx="6">
                  <c:v>4.6181249999999983</c:v>
                </c:pt>
                <c:pt idx="7">
                  <c:v>3.4624999999999968</c:v>
                </c:pt>
              </c:numCache>
            </c:numRef>
          </c:yVal>
          <c:smooth val="1"/>
        </c:ser>
        <c:axId val="156119424"/>
        <c:axId val="156121344"/>
      </c:scatterChart>
      <c:valAx>
        <c:axId val="15611942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VE"/>
                  <a:t>Flujo Másico</a:t>
                </a:r>
                <a:endParaRPr/>
              </a:p>
            </c:rich>
          </c:tx>
          <c:layout/>
        </c:title>
        <c:numFmt formatCode="General" sourceLinked="1"/>
        <c:tickLblPos val="nextTo"/>
        <c:crossAx val="156121344"/>
        <c:crosses val="autoZero"/>
        <c:crossBetween val="midCat"/>
      </c:valAx>
      <c:valAx>
        <c:axId val="156121344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s-VE"/>
                  <a:t>Relación de Compresión</a:t>
                </a:r>
                <a:endParaRPr/>
              </a:p>
            </c:rich>
          </c:tx>
          <c:layout/>
        </c:title>
        <c:numFmt formatCode="General" sourceLinked="1"/>
        <c:tickLblPos val="nextTo"/>
        <c:crossAx val="156119424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VE"/>
  <c:chart>
    <c:title>
      <c:tx>
        <c:rich>
          <a:bodyPr/>
          <a:lstStyle/>
          <a:p>
            <a:pPr>
              <a:defRPr/>
            </a:pPr>
            <a:r>
              <a:rPr lang="es-VE"/>
              <a:t>Curva del Compresor</a:t>
            </a:r>
            <a:endParaRPr/>
          </a:p>
        </c:rich>
      </c:tx>
      <c:layout/>
    </c:title>
    <c:plotArea>
      <c:layout/>
      <c:scatterChart>
        <c:scatterStyle val="smoothMarker"/>
        <c:ser>
          <c:idx val="0"/>
          <c:order val="0"/>
          <c:xVal>
            <c:numRef>
              <c:f>Hoja1!$C$4:$C$11</c:f>
              <c:numCache>
                <c:formatCode>General</c:formatCode>
                <c:ptCount val="8"/>
                <c:pt idx="0">
                  <c:v>1</c:v>
                </c:pt>
                <c:pt idx="1">
                  <c:v>1.2250000000000001</c:v>
                </c:pt>
                <c:pt idx="2">
                  <c:v>1.4500000000000002</c:v>
                </c:pt>
                <c:pt idx="3">
                  <c:v>1.6750000000000003</c:v>
                </c:pt>
                <c:pt idx="4">
                  <c:v>1.9000000000000004</c:v>
                </c:pt>
                <c:pt idx="5">
                  <c:v>2.1250000000000004</c:v>
                </c:pt>
                <c:pt idx="6">
                  <c:v>2.3500000000000005</c:v>
                </c:pt>
                <c:pt idx="7">
                  <c:v>2.5750000000000006</c:v>
                </c:pt>
              </c:numCache>
            </c:numRef>
          </c:xVal>
          <c:yVal>
            <c:numRef>
              <c:f>Hoja1!$D$4:$D$11</c:f>
              <c:numCache>
                <c:formatCode>General</c:formatCode>
                <c:ptCount val="8"/>
                <c:pt idx="0">
                  <c:v>2</c:v>
                </c:pt>
                <c:pt idx="1">
                  <c:v>1.9243749999999999</c:v>
                </c:pt>
                <c:pt idx="2">
                  <c:v>1.921875</c:v>
                </c:pt>
                <c:pt idx="3">
                  <c:v>1.8912499999999999</c:v>
                </c:pt>
                <c:pt idx="4">
                  <c:v>1.7312499999999995</c:v>
                </c:pt>
                <c:pt idx="5">
                  <c:v>1.3406249999999988</c:v>
                </c:pt>
                <c:pt idx="6">
                  <c:v>0.61812499999999793</c:v>
                </c:pt>
                <c:pt idx="7">
                  <c:v>-0.53750000000000331</c:v>
                </c:pt>
              </c:numCache>
            </c:numRef>
          </c:yVal>
          <c:smooth val="1"/>
        </c:ser>
        <c:ser>
          <c:idx val="1"/>
          <c:order val="1"/>
          <c:xVal>
            <c:numRef>
              <c:f>Hoja1!$C$4:$C$11</c:f>
              <c:numCache>
                <c:formatCode>General</c:formatCode>
                <c:ptCount val="8"/>
                <c:pt idx="0">
                  <c:v>1</c:v>
                </c:pt>
                <c:pt idx="1">
                  <c:v>1.2250000000000001</c:v>
                </c:pt>
                <c:pt idx="2">
                  <c:v>1.4500000000000002</c:v>
                </c:pt>
                <c:pt idx="3">
                  <c:v>1.6750000000000003</c:v>
                </c:pt>
                <c:pt idx="4">
                  <c:v>1.9000000000000004</c:v>
                </c:pt>
                <c:pt idx="5">
                  <c:v>2.1250000000000004</c:v>
                </c:pt>
                <c:pt idx="6">
                  <c:v>2.3500000000000005</c:v>
                </c:pt>
                <c:pt idx="7">
                  <c:v>2.5750000000000006</c:v>
                </c:pt>
              </c:numCache>
            </c:numRef>
          </c:xVal>
          <c:yVal>
            <c:numRef>
              <c:f>Hoja1!$Y$4:$Y$11</c:f>
              <c:numCache>
                <c:formatCode>General</c:formatCode>
                <c:ptCount val="8"/>
                <c:pt idx="0">
                  <c:v>0.2</c:v>
                </c:pt>
                <c:pt idx="1">
                  <c:v>0.20500000000000013</c:v>
                </c:pt>
                <c:pt idx="2">
                  <c:v>0.43500000000000033</c:v>
                </c:pt>
                <c:pt idx="3">
                  <c:v>0.89000000000000057</c:v>
                </c:pt>
                <c:pt idx="4">
                  <c:v>1.570000000000001</c:v>
                </c:pt>
                <c:pt idx="5">
                  <c:v>2.4750000000000014</c:v>
                </c:pt>
                <c:pt idx="6">
                  <c:v>3.6050000000000022</c:v>
                </c:pt>
                <c:pt idx="7">
                  <c:v>4.9600000000000026</c:v>
                </c:pt>
              </c:numCache>
            </c:numRef>
          </c:yVal>
          <c:smooth val="1"/>
        </c:ser>
        <c:axId val="156142208"/>
        <c:axId val="156164864"/>
      </c:scatterChart>
      <c:valAx>
        <c:axId val="15614220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VE"/>
                  <a:t>Flujo Másico</a:t>
                </a:r>
                <a:endParaRPr/>
              </a:p>
            </c:rich>
          </c:tx>
          <c:layout/>
        </c:title>
        <c:numFmt formatCode="General" sourceLinked="1"/>
        <c:tickLblPos val="nextTo"/>
        <c:crossAx val="156164864"/>
        <c:crosses val="autoZero"/>
        <c:crossBetween val="midCat"/>
      </c:valAx>
      <c:valAx>
        <c:axId val="156164864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s-VE"/>
                  <a:t>Relación de Compresión</a:t>
                </a:r>
                <a:endParaRPr/>
              </a:p>
            </c:rich>
          </c:tx>
          <c:layout/>
        </c:title>
        <c:numFmt formatCode="General" sourceLinked="1"/>
        <c:tickLblPos val="nextTo"/>
        <c:crossAx val="156142208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VE"/>
  <c:chart>
    <c:title>
      <c:tx>
        <c:rich>
          <a:bodyPr/>
          <a:lstStyle/>
          <a:p>
            <a:pPr>
              <a:defRPr/>
            </a:pPr>
            <a:r>
              <a:rPr lang="es-VE"/>
              <a:t>Curva del Compresor</a:t>
            </a:r>
            <a:endParaRPr/>
          </a:p>
        </c:rich>
      </c:tx>
      <c:layout/>
    </c:title>
    <c:plotArea>
      <c:layout/>
      <c:scatterChart>
        <c:scatterStyle val="smoothMarker"/>
        <c:ser>
          <c:idx val="0"/>
          <c:order val="0"/>
          <c:xVal>
            <c:numRef>
              <c:f>Hoja1!$C$4:$C$11</c:f>
              <c:numCache>
                <c:formatCode>General</c:formatCode>
                <c:ptCount val="8"/>
                <c:pt idx="0">
                  <c:v>1</c:v>
                </c:pt>
                <c:pt idx="1">
                  <c:v>1.2250000000000001</c:v>
                </c:pt>
                <c:pt idx="2">
                  <c:v>1.4500000000000002</c:v>
                </c:pt>
                <c:pt idx="3">
                  <c:v>1.6750000000000003</c:v>
                </c:pt>
                <c:pt idx="4">
                  <c:v>1.9000000000000004</c:v>
                </c:pt>
                <c:pt idx="5">
                  <c:v>2.1250000000000004</c:v>
                </c:pt>
                <c:pt idx="6">
                  <c:v>2.3500000000000005</c:v>
                </c:pt>
                <c:pt idx="7">
                  <c:v>2.5750000000000006</c:v>
                </c:pt>
              </c:numCache>
            </c:numRef>
          </c:xVal>
          <c:yVal>
            <c:numRef>
              <c:f>Hoja1!$D$4:$D$11</c:f>
              <c:numCache>
                <c:formatCode>General</c:formatCode>
                <c:ptCount val="8"/>
                <c:pt idx="0">
                  <c:v>2</c:v>
                </c:pt>
                <c:pt idx="1">
                  <c:v>1.9243749999999999</c:v>
                </c:pt>
                <c:pt idx="2">
                  <c:v>1.921875</c:v>
                </c:pt>
                <c:pt idx="3">
                  <c:v>1.8912499999999999</c:v>
                </c:pt>
                <c:pt idx="4">
                  <c:v>1.7312499999999995</c:v>
                </c:pt>
                <c:pt idx="5">
                  <c:v>1.3406249999999988</c:v>
                </c:pt>
                <c:pt idx="6">
                  <c:v>0.61812499999999793</c:v>
                </c:pt>
                <c:pt idx="7">
                  <c:v>-0.53750000000000331</c:v>
                </c:pt>
              </c:numCache>
            </c:numRef>
          </c:yVal>
          <c:smooth val="1"/>
        </c:ser>
        <c:ser>
          <c:idx val="1"/>
          <c:order val="1"/>
          <c:xVal>
            <c:numRef>
              <c:f>Hoja1!$C$4:$C$11</c:f>
              <c:numCache>
                <c:formatCode>General</c:formatCode>
                <c:ptCount val="8"/>
                <c:pt idx="0">
                  <c:v>1</c:v>
                </c:pt>
                <c:pt idx="1">
                  <c:v>1.2250000000000001</c:v>
                </c:pt>
                <c:pt idx="2">
                  <c:v>1.4500000000000002</c:v>
                </c:pt>
                <c:pt idx="3">
                  <c:v>1.6750000000000003</c:v>
                </c:pt>
                <c:pt idx="4">
                  <c:v>1.9000000000000004</c:v>
                </c:pt>
                <c:pt idx="5">
                  <c:v>2.1250000000000004</c:v>
                </c:pt>
                <c:pt idx="6">
                  <c:v>2.3500000000000005</c:v>
                </c:pt>
                <c:pt idx="7">
                  <c:v>2.5750000000000006</c:v>
                </c:pt>
              </c:numCache>
            </c:numRef>
          </c:xVal>
          <c:yVal>
            <c:numRef>
              <c:f>Hoja1!$E$4:$E$11</c:f>
              <c:numCache>
                <c:formatCode>General</c:formatCode>
                <c:ptCount val="8"/>
                <c:pt idx="0">
                  <c:v>3.1</c:v>
                </c:pt>
                <c:pt idx="1">
                  <c:v>3.024375</c:v>
                </c:pt>
                <c:pt idx="2">
                  <c:v>3.0218750000000001</c:v>
                </c:pt>
                <c:pt idx="3">
                  <c:v>2.99125</c:v>
                </c:pt>
                <c:pt idx="4">
                  <c:v>2.8312499999999998</c:v>
                </c:pt>
                <c:pt idx="5">
                  <c:v>2.4406249999999994</c:v>
                </c:pt>
                <c:pt idx="6">
                  <c:v>1.7181249999999983</c:v>
                </c:pt>
                <c:pt idx="7">
                  <c:v>0.56249999999999711</c:v>
                </c:pt>
              </c:numCache>
            </c:numRef>
          </c:yVal>
          <c:smooth val="1"/>
        </c:ser>
        <c:ser>
          <c:idx val="2"/>
          <c:order val="2"/>
          <c:xVal>
            <c:numRef>
              <c:f>Hoja1!$C$4:$C$11</c:f>
              <c:numCache>
                <c:formatCode>General</c:formatCode>
                <c:ptCount val="8"/>
                <c:pt idx="0">
                  <c:v>1</c:v>
                </c:pt>
                <c:pt idx="1">
                  <c:v>1.2250000000000001</c:v>
                </c:pt>
                <c:pt idx="2">
                  <c:v>1.4500000000000002</c:v>
                </c:pt>
                <c:pt idx="3">
                  <c:v>1.6750000000000003</c:v>
                </c:pt>
                <c:pt idx="4">
                  <c:v>1.9000000000000004</c:v>
                </c:pt>
                <c:pt idx="5">
                  <c:v>2.1250000000000004</c:v>
                </c:pt>
                <c:pt idx="6">
                  <c:v>2.3500000000000005</c:v>
                </c:pt>
                <c:pt idx="7">
                  <c:v>2.5750000000000006</c:v>
                </c:pt>
              </c:numCache>
            </c:numRef>
          </c:xVal>
          <c:yVal>
            <c:numRef>
              <c:f>Hoja1!$Y$4:$Y$11</c:f>
              <c:numCache>
                <c:formatCode>General</c:formatCode>
                <c:ptCount val="8"/>
                <c:pt idx="0">
                  <c:v>0.2</c:v>
                </c:pt>
                <c:pt idx="1">
                  <c:v>0.20500000000000013</c:v>
                </c:pt>
                <c:pt idx="2">
                  <c:v>0.43500000000000033</c:v>
                </c:pt>
                <c:pt idx="3">
                  <c:v>0.89000000000000057</c:v>
                </c:pt>
                <c:pt idx="4">
                  <c:v>1.570000000000001</c:v>
                </c:pt>
                <c:pt idx="5">
                  <c:v>2.4750000000000014</c:v>
                </c:pt>
                <c:pt idx="6">
                  <c:v>3.6050000000000022</c:v>
                </c:pt>
                <c:pt idx="7">
                  <c:v>4.9600000000000026</c:v>
                </c:pt>
              </c:numCache>
            </c:numRef>
          </c:yVal>
          <c:smooth val="1"/>
        </c:ser>
        <c:axId val="147683584"/>
        <c:axId val="147698048"/>
      </c:scatterChart>
      <c:valAx>
        <c:axId val="14768358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VE"/>
                  <a:t>Flujo Másico</a:t>
                </a:r>
                <a:endParaRPr/>
              </a:p>
            </c:rich>
          </c:tx>
          <c:layout/>
        </c:title>
        <c:numFmt formatCode="General" sourceLinked="1"/>
        <c:tickLblPos val="nextTo"/>
        <c:crossAx val="147698048"/>
        <c:crosses val="autoZero"/>
        <c:crossBetween val="midCat"/>
      </c:valAx>
      <c:valAx>
        <c:axId val="147698048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s-VE"/>
                  <a:t>Relación de Compresión</a:t>
                </a:r>
                <a:endParaRPr/>
              </a:p>
            </c:rich>
          </c:tx>
          <c:layout/>
        </c:title>
        <c:numFmt formatCode="General" sourceLinked="1"/>
        <c:tickLblPos val="nextTo"/>
        <c:crossAx val="147683584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VE"/>
  <c:chart>
    <c:title>
      <c:tx>
        <c:rich>
          <a:bodyPr/>
          <a:lstStyle/>
          <a:p>
            <a:pPr>
              <a:defRPr/>
            </a:pPr>
            <a:r>
              <a:rPr lang="es-VE"/>
              <a:t>Curva del Compresor</a:t>
            </a:r>
            <a:endParaRPr/>
          </a:p>
        </c:rich>
      </c:tx>
      <c:layout/>
    </c:title>
    <c:plotArea>
      <c:layout/>
      <c:scatterChart>
        <c:scatterStyle val="smoothMarker"/>
        <c:ser>
          <c:idx val="0"/>
          <c:order val="0"/>
          <c:xVal>
            <c:numRef>
              <c:f>Hoja1!$C$4:$C$11</c:f>
              <c:numCache>
                <c:formatCode>General</c:formatCode>
                <c:ptCount val="8"/>
                <c:pt idx="0">
                  <c:v>1</c:v>
                </c:pt>
                <c:pt idx="1">
                  <c:v>1.2250000000000001</c:v>
                </c:pt>
                <c:pt idx="2">
                  <c:v>1.4500000000000002</c:v>
                </c:pt>
                <c:pt idx="3">
                  <c:v>1.6750000000000003</c:v>
                </c:pt>
                <c:pt idx="4">
                  <c:v>1.9000000000000004</c:v>
                </c:pt>
                <c:pt idx="5">
                  <c:v>2.1250000000000004</c:v>
                </c:pt>
                <c:pt idx="6">
                  <c:v>2.3500000000000005</c:v>
                </c:pt>
                <c:pt idx="7">
                  <c:v>2.5750000000000006</c:v>
                </c:pt>
              </c:numCache>
            </c:numRef>
          </c:xVal>
          <c:yVal>
            <c:numRef>
              <c:f>Hoja1!$D$4:$D$11</c:f>
              <c:numCache>
                <c:formatCode>General</c:formatCode>
                <c:ptCount val="8"/>
                <c:pt idx="0">
                  <c:v>2</c:v>
                </c:pt>
                <c:pt idx="1">
                  <c:v>1.9243749999999999</c:v>
                </c:pt>
                <c:pt idx="2">
                  <c:v>1.921875</c:v>
                </c:pt>
                <c:pt idx="3">
                  <c:v>1.8912499999999999</c:v>
                </c:pt>
                <c:pt idx="4">
                  <c:v>1.7312499999999995</c:v>
                </c:pt>
                <c:pt idx="5">
                  <c:v>1.3406249999999988</c:v>
                </c:pt>
                <c:pt idx="6">
                  <c:v>0.61812499999999793</c:v>
                </c:pt>
                <c:pt idx="7">
                  <c:v>-0.53750000000000331</c:v>
                </c:pt>
              </c:numCache>
            </c:numRef>
          </c:yVal>
          <c:smooth val="1"/>
        </c:ser>
        <c:ser>
          <c:idx val="1"/>
          <c:order val="1"/>
          <c:xVal>
            <c:numRef>
              <c:f>Hoja1!$C$4:$C$11</c:f>
              <c:numCache>
                <c:formatCode>General</c:formatCode>
                <c:ptCount val="8"/>
                <c:pt idx="0">
                  <c:v>1</c:v>
                </c:pt>
                <c:pt idx="1">
                  <c:v>1.2250000000000001</c:v>
                </c:pt>
                <c:pt idx="2">
                  <c:v>1.4500000000000002</c:v>
                </c:pt>
                <c:pt idx="3">
                  <c:v>1.6750000000000003</c:v>
                </c:pt>
                <c:pt idx="4">
                  <c:v>1.9000000000000004</c:v>
                </c:pt>
                <c:pt idx="5">
                  <c:v>2.1250000000000004</c:v>
                </c:pt>
                <c:pt idx="6">
                  <c:v>2.3500000000000005</c:v>
                </c:pt>
                <c:pt idx="7">
                  <c:v>2.5750000000000006</c:v>
                </c:pt>
              </c:numCache>
            </c:numRef>
          </c:xVal>
          <c:yVal>
            <c:numRef>
              <c:f>Hoja1!$F$4:$F$11</c:f>
              <c:numCache>
                <c:formatCode>General</c:formatCode>
                <c:ptCount val="8"/>
                <c:pt idx="0">
                  <c:v>4.5</c:v>
                </c:pt>
                <c:pt idx="1">
                  <c:v>4.4243750000000004</c:v>
                </c:pt>
                <c:pt idx="2">
                  <c:v>4.421875</c:v>
                </c:pt>
                <c:pt idx="3">
                  <c:v>4.3912500000000003</c:v>
                </c:pt>
                <c:pt idx="4">
                  <c:v>4.2312500000000002</c:v>
                </c:pt>
                <c:pt idx="5">
                  <c:v>3.8406249999999997</c:v>
                </c:pt>
                <c:pt idx="6">
                  <c:v>3.1181249999999987</c:v>
                </c:pt>
                <c:pt idx="7">
                  <c:v>1.9624999999999975</c:v>
                </c:pt>
              </c:numCache>
            </c:numRef>
          </c:yVal>
          <c:smooth val="1"/>
        </c:ser>
        <c:ser>
          <c:idx val="2"/>
          <c:order val="2"/>
          <c:xVal>
            <c:numRef>
              <c:f>Hoja1!$C$4:$C$11</c:f>
              <c:numCache>
                <c:formatCode>General</c:formatCode>
                <c:ptCount val="8"/>
                <c:pt idx="0">
                  <c:v>1</c:v>
                </c:pt>
                <c:pt idx="1">
                  <c:v>1.2250000000000001</c:v>
                </c:pt>
                <c:pt idx="2">
                  <c:v>1.4500000000000002</c:v>
                </c:pt>
                <c:pt idx="3">
                  <c:v>1.6750000000000003</c:v>
                </c:pt>
                <c:pt idx="4">
                  <c:v>1.9000000000000004</c:v>
                </c:pt>
                <c:pt idx="5">
                  <c:v>2.1250000000000004</c:v>
                </c:pt>
                <c:pt idx="6">
                  <c:v>2.3500000000000005</c:v>
                </c:pt>
                <c:pt idx="7">
                  <c:v>2.5750000000000006</c:v>
                </c:pt>
              </c:numCache>
            </c:numRef>
          </c:xVal>
          <c:yVal>
            <c:numRef>
              <c:f>Hoja1!$Y$4:$Y$11</c:f>
              <c:numCache>
                <c:formatCode>General</c:formatCode>
                <c:ptCount val="8"/>
                <c:pt idx="0">
                  <c:v>0.2</c:v>
                </c:pt>
                <c:pt idx="1">
                  <c:v>0.20500000000000013</c:v>
                </c:pt>
                <c:pt idx="2">
                  <c:v>0.43500000000000033</c:v>
                </c:pt>
                <c:pt idx="3">
                  <c:v>0.89000000000000057</c:v>
                </c:pt>
                <c:pt idx="4">
                  <c:v>1.570000000000001</c:v>
                </c:pt>
                <c:pt idx="5">
                  <c:v>2.4750000000000014</c:v>
                </c:pt>
                <c:pt idx="6">
                  <c:v>3.6050000000000022</c:v>
                </c:pt>
                <c:pt idx="7">
                  <c:v>4.9600000000000026</c:v>
                </c:pt>
              </c:numCache>
            </c:numRef>
          </c:yVal>
          <c:smooth val="1"/>
        </c:ser>
        <c:axId val="156239744"/>
        <c:axId val="156250112"/>
      </c:scatterChart>
      <c:valAx>
        <c:axId val="15623974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VE"/>
                  <a:t>Flujo Másico</a:t>
                </a:r>
                <a:endParaRPr/>
              </a:p>
            </c:rich>
          </c:tx>
          <c:layout/>
        </c:title>
        <c:numFmt formatCode="General" sourceLinked="1"/>
        <c:tickLblPos val="nextTo"/>
        <c:crossAx val="156250112"/>
        <c:crosses val="autoZero"/>
        <c:crossBetween val="midCat"/>
      </c:valAx>
      <c:valAx>
        <c:axId val="156250112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s-VE"/>
                  <a:t>Relación de Compresión</a:t>
                </a:r>
                <a:endParaRPr/>
              </a:p>
            </c:rich>
          </c:tx>
          <c:layout/>
        </c:title>
        <c:numFmt formatCode="General" sourceLinked="1"/>
        <c:tickLblPos val="nextTo"/>
        <c:crossAx val="156239744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VE"/>
  <c:chart>
    <c:title>
      <c:tx>
        <c:rich>
          <a:bodyPr/>
          <a:lstStyle/>
          <a:p>
            <a:pPr>
              <a:defRPr/>
            </a:pPr>
            <a:r>
              <a:rPr lang="es-VE"/>
              <a:t>Curva del Compresor</a:t>
            </a:r>
            <a:endParaRPr/>
          </a:p>
        </c:rich>
      </c:tx>
      <c:layout/>
    </c:title>
    <c:plotArea>
      <c:layout/>
      <c:scatterChart>
        <c:scatterStyle val="smoothMarker"/>
        <c:ser>
          <c:idx val="0"/>
          <c:order val="0"/>
          <c:xVal>
            <c:numRef>
              <c:f>Hoja1!$C$4:$C$11</c:f>
              <c:numCache>
                <c:formatCode>General</c:formatCode>
                <c:ptCount val="8"/>
                <c:pt idx="0">
                  <c:v>1</c:v>
                </c:pt>
                <c:pt idx="1">
                  <c:v>1.2250000000000001</c:v>
                </c:pt>
                <c:pt idx="2">
                  <c:v>1.4500000000000002</c:v>
                </c:pt>
                <c:pt idx="3">
                  <c:v>1.6750000000000003</c:v>
                </c:pt>
                <c:pt idx="4">
                  <c:v>1.9000000000000004</c:v>
                </c:pt>
                <c:pt idx="5">
                  <c:v>2.1250000000000004</c:v>
                </c:pt>
                <c:pt idx="6">
                  <c:v>2.3500000000000005</c:v>
                </c:pt>
                <c:pt idx="7">
                  <c:v>2.5750000000000006</c:v>
                </c:pt>
              </c:numCache>
            </c:numRef>
          </c:xVal>
          <c:yVal>
            <c:numRef>
              <c:f>Hoja1!$D$4:$D$11</c:f>
              <c:numCache>
                <c:formatCode>General</c:formatCode>
                <c:ptCount val="8"/>
                <c:pt idx="0">
                  <c:v>2</c:v>
                </c:pt>
                <c:pt idx="1">
                  <c:v>1.9243749999999999</c:v>
                </c:pt>
                <c:pt idx="2">
                  <c:v>1.921875</c:v>
                </c:pt>
                <c:pt idx="3">
                  <c:v>1.8912499999999999</c:v>
                </c:pt>
                <c:pt idx="4">
                  <c:v>1.7312499999999995</c:v>
                </c:pt>
                <c:pt idx="5">
                  <c:v>1.3406249999999988</c:v>
                </c:pt>
                <c:pt idx="6">
                  <c:v>0.61812499999999793</c:v>
                </c:pt>
                <c:pt idx="7">
                  <c:v>-0.53750000000000331</c:v>
                </c:pt>
              </c:numCache>
            </c:numRef>
          </c:yVal>
          <c:smooth val="1"/>
        </c:ser>
        <c:ser>
          <c:idx val="1"/>
          <c:order val="1"/>
          <c:xVal>
            <c:numRef>
              <c:f>Hoja1!$C$4:$C$11</c:f>
              <c:numCache>
                <c:formatCode>General</c:formatCode>
                <c:ptCount val="8"/>
                <c:pt idx="0">
                  <c:v>1</c:v>
                </c:pt>
                <c:pt idx="1">
                  <c:v>1.2250000000000001</c:v>
                </c:pt>
                <c:pt idx="2">
                  <c:v>1.4500000000000002</c:v>
                </c:pt>
                <c:pt idx="3">
                  <c:v>1.6750000000000003</c:v>
                </c:pt>
                <c:pt idx="4">
                  <c:v>1.9000000000000004</c:v>
                </c:pt>
                <c:pt idx="5">
                  <c:v>2.1250000000000004</c:v>
                </c:pt>
                <c:pt idx="6">
                  <c:v>2.3500000000000005</c:v>
                </c:pt>
                <c:pt idx="7">
                  <c:v>2.5750000000000006</c:v>
                </c:pt>
              </c:numCache>
            </c:numRef>
          </c:xVal>
          <c:yVal>
            <c:numRef>
              <c:f>Hoja1!$G$4:$G$11</c:f>
              <c:numCache>
                <c:formatCode>General</c:formatCode>
                <c:ptCount val="8"/>
                <c:pt idx="0">
                  <c:v>6</c:v>
                </c:pt>
                <c:pt idx="1">
                  <c:v>5.9243750000000004</c:v>
                </c:pt>
                <c:pt idx="2">
                  <c:v>5.921875</c:v>
                </c:pt>
                <c:pt idx="3">
                  <c:v>5.8912500000000003</c:v>
                </c:pt>
                <c:pt idx="4">
                  <c:v>5.7312500000000002</c:v>
                </c:pt>
                <c:pt idx="5">
                  <c:v>5.3406249999999993</c:v>
                </c:pt>
                <c:pt idx="6">
                  <c:v>4.6181249999999983</c:v>
                </c:pt>
                <c:pt idx="7">
                  <c:v>3.4624999999999968</c:v>
                </c:pt>
              </c:numCache>
            </c:numRef>
          </c:yVal>
          <c:smooth val="1"/>
        </c:ser>
        <c:ser>
          <c:idx val="2"/>
          <c:order val="2"/>
          <c:xVal>
            <c:numRef>
              <c:f>Hoja1!$C$4:$C$11</c:f>
              <c:numCache>
                <c:formatCode>General</c:formatCode>
                <c:ptCount val="8"/>
                <c:pt idx="0">
                  <c:v>1</c:v>
                </c:pt>
                <c:pt idx="1">
                  <c:v>1.2250000000000001</c:v>
                </c:pt>
                <c:pt idx="2">
                  <c:v>1.4500000000000002</c:v>
                </c:pt>
                <c:pt idx="3">
                  <c:v>1.6750000000000003</c:v>
                </c:pt>
                <c:pt idx="4">
                  <c:v>1.9000000000000004</c:v>
                </c:pt>
                <c:pt idx="5">
                  <c:v>2.1250000000000004</c:v>
                </c:pt>
                <c:pt idx="6">
                  <c:v>2.3500000000000005</c:v>
                </c:pt>
                <c:pt idx="7">
                  <c:v>2.5750000000000006</c:v>
                </c:pt>
              </c:numCache>
            </c:numRef>
          </c:xVal>
          <c:yVal>
            <c:numRef>
              <c:f>Hoja1!$Y$4:$Y$11</c:f>
              <c:numCache>
                <c:formatCode>General</c:formatCode>
                <c:ptCount val="8"/>
                <c:pt idx="0">
                  <c:v>0.2</c:v>
                </c:pt>
                <c:pt idx="1">
                  <c:v>0.20500000000000013</c:v>
                </c:pt>
                <c:pt idx="2">
                  <c:v>0.43500000000000033</c:v>
                </c:pt>
                <c:pt idx="3">
                  <c:v>0.89000000000000057</c:v>
                </c:pt>
                <c:pt idx="4">
                  <c:v>1.570000000000001</c:v>
                </c:pt>
                <c:pt idx="5">
                  <c:v>2.4750000000000014</c:v>
                </c:pt>
                <c:pt idx="6">
                  <c:v>3.6050000000000022</c:v>
                </c:pt>
                <c:pt idx="7">
                  <c:v>4.9600000000000026</c:v>
                </c:pt>
              </c:numCache>
            </c:numRef>
          </c:yVal>
          <c:smooth val="1"/>
        </c:ser>
        <c:axId val="156279936"/>
        <c:axId val="156281856"/>
      </c:scatterChart>
      <c:valAx>
        <c:axId val="15627993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VE"/>
                  <a:t>Flujo Másico</a:t>
                </a:r>
                <a:endParaRPr/>
              </a:p>
            </c:rich>
          </c:tx>
          <c:layout/>
        </c:title>
        <c:numFmt formatCode="General" sourceLinked="1"/>
        <c:tickLblPos val="nextTo"/>
        <c:crossAx val="156281856"/>
        <c:crosses val="autoZero"/>
        <c:crossBetween val="midCat"/>
      </c:valAx>
      <c:valAx>
        <c:axId val="156281856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s-VE"/>
                  <a:t>Relación de Compresión</a:t>
                </a:r>
                <a:endParaRPr/>
              </a:p>
            </c:rich>
          </c:tx>
          <c:layout/>
        </c:title>
        <c:numFmt formatCode="General" sourceLinked="1"/>
        <c:tickLblPos val="nextTo"/>
        <c:crossAx val="156279936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VE"/>
  <c:chart>
    <c:title>
      <c:tx>
        <c:rich>
          <a:bodyPr/>
          <a:lstStyle/>
          <a:p>
            <a:pPr>
              <a:defRPr/>
            </a:pPr>
            <a:r>
              <a:rPr lang="es-VE"/>
              <a:t>Curva del Compresor</a:t>
            </a:r>
            <a:endParaRPr/>
          </a:p>
        </c:rich>
      </c:tx>
      <c:layout/>
    </c:title>
    <c:plotArea>
      <c:layout/>
      <c:scatterChart>
        <c:scatterStyle val="smoothMarker"/>
        <c:ser>
          <c:idx val="0"/>
          <c:order val="0"/>
          <c:xVal>
            <c:numRef>
              <c:f>Hoja1!$C$4:$C$11</c:f>
              <c:numCache>
                <c:formatCode>General</c:formatCode>
                <c:ptCount val="8"/>
                <c:pt idx="0">
                  <c:v>1</c:v>
                </c:pt>
                <c:pt idx="1">
                  <c:v>1.2250000000000001</c:v>
                </c:pt>
                <c:pt idx="2">
                  <c:v>1.4500000000000002</c:v>
                </c:pt>
                <c:pt idx="3">
                  <c:v>1.6750000000000003</c:v>
                </c:pt>
                <c:pt idx="4">
                  <c:v>1.9000000000000004</c:v>
                </c:pt>
                <c:pt idx="5">
                  <c:v>2.1250000000000004</c:v>
                </c:pt>
                <c:pt idx="6">
                  <c:v>2.3500000000000005</c:v>
                </c:pt>
                <c:pt idx="7">
                  <c:v>2.5750000000000006</c:v>
                </c:pt>
              </c:numCache>
            </c:numRef>
          </c:xVal>
          <c:yVal>
            <c:numRef>
              <c:f>Hoja1!$D$4:$D$11</c:f>
              <c:numCache>
                <c:formatCode>General</c:formatCode>
                <c:ptCount val="8"/>
                <c:pt idx="0">
                  <c:v>2</c:v>
                </c:pt>
                <c:pt idx="1">
                  <c:v>1.9243749999999999</c:v>
                </c:pt>
                <c:pt idx="2">
                  <c:v>1.921875</c:v>
                </c:pt>
                <c:pt idx="3">
                  <c:v>1.8912499999999999</c:v>
                </c:pt>
                <c:pt idx="4">
                  <c:v>1.7312499999999995</c:v>
                </c:pt>
                <c:pt idx="5">
                  <c:v>1.3406249999999988</c:v>
                </c:pt>
                <c:pt idx="6">
                  <c:v>0.61812499999999793</c:v>
                </c:pt>
                <c:pt idx="7">
                  <c:v>-0.53750000000000331</c:v>
                </c:pt>
              </c:numCache>
            </c:numRef>
          </c:yVal>
          <c:smooth val="1"/>
        </c:ser>
        <c:ser>
          <c:idx val="1"/>
          <c:order val="1"/>
          <c:xVal>
            <c:numRef>
              <c:f>Hoja1!$C$4:$C$11</c:f>
              <c:numCache>
                <c:formatCode>General</c:formatCode>
                <c:ptCount val="8"/>
                <c:pt idx="0">
                  <c:v>1</c:v>
                </c:pt>
                <c:pt idx="1">
                  <c:v>1.2250000000000001</c:v>
                </c:pt>
                <c:pt idx="2">
                  <c:v>1.4500000000000002</c:v>
                </c:pt>
                <c:pt idx="3">
                  <c:v>1.6750000000000003</c:v>
                </c:pt>
                <c:pt idx="4">
                  <c:v>1.9000000000000004</c:v>
                </c:pt>
                <c:pt idx="5">
                  <c:v>2.1250000000000004</c:v>
                </c:pt>
                <c:pt idx="6">
                  <c:v>2.3500000000000005</c:v>
                </c:pt>
                <c:pt idx="7">
                  <c:v>2.5750000000000006</c:v>
                </c:pt>
              </c:numCache>
            </c:numRef>
          </c:xVal>
          <c:yVal>
            <c:numRef>
              <c:f>Hoja1!$Y$4:$Y$11</c:f>
              <c:numCache>
                <c:formatCode>General</c:formatCode>
                <c:ptCount val="8"/>
                <c:pt idx="0">
                  <c:v>0.2</c:v>
                </c:pt>
                <c:pt idx="1">
                  <c:v>0.20500000000000013</c:v>
                </c:pt>
                <c:pt idx="2">
                  <c:v>0.43500000000000033</c:v>
                </c:pt>
                <c:pt idx="3">
                  <c:v>0.89000000000000057</c:v>
                </c:pt>
                <c:pt idx="4">
                  <c:v>1.570000000000001</c:v>
                </c:pt>
                <c:pt idx="5">
                  <c:v>2.4750000000000014</c:v>
                </c:pt>
                <c:pt idx="6">
                  <c:v>3.6050000000000022</c:v>
                </c:pt>
                <c:pt idx="7">
                  <c:v>4.9600000000000026</c:v>
                </c:pt>
              </c:numCache>
            </c:numRef>
          </c:yVal>
          <c:smooth val="1"/>
        </c:ser>
        <c:axId val="156209152"/>
        <c:axId val="156211072"/>
      </c:scatterChart>
      <c:valAx>
        <c:axId val="15620915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VE"/>
                  <a:t>Flujo Másico</a:t>
                </a:r>
                <a:endParaRPr/>
              </a:p>
            </c:rich>
          </c:tx>
          <c:layout/>
        </c:title>
        <c:numFmt formatCode="General" sourceLinked="1"/>
        <c:tickLblPos val="nextTo"/>
        <c:crossAx val="156211072"/>
        <c:crosses val="autoZero"/>
        <c:crossBetween val="midCat"/>
      </c:valAx>
      <c:valAx>
        <c:axId val="156211072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s-VE"/>
                  <a:t>Relación de Compresión</a:t>
                </a:r>
                <a:endParaRPr/>
              </a:p>
            </c:rich>
          </c:tx>
          <c:layout/>
        </c:title>
        <c:numFmt formatCode="General" sourceLinked="1"/>
        <c:tickLblPos val="nextTo"/>
        <c:crossAx val="156209152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VE"/>
  <c:chart>
    <c:title>
      <c:tx>
        <c:rich>
          <a:bodyPr/>
          <a:lstStyle/>
          <a:p>
            <a:pPr>
              <a:defRPr/>
            </a:pPr>
            <a:r>
              <a:rPr lang="es-VE"/>
              <a:t>Curva del Compresor</a:t>
            </a:r>
            <a:endParaRPr/>
          </a:p>
        </c:rich>
      </c:tx>
      <c:layout/>
    </c:title>
    <c:plotArea>
      <c:layout/>
      <c:scatterChart>
        <c:scatterStyle val="smoothMarker"/>
        <c:ser>
          <c:idx val="0"/>
          <c:order val="0"/>
          <c:xVal>
            <c:numRef>
              <c:f>Hoja1!$C$4:$C$11</c:f>
              <c:numCache>
                <c:formatCode>General</c:formatCode>
                <c:ptCount val="8"/>
                <c:pt idx="0">
                  <c:v>1</c:v>
                </c:pt>
                <c:pt idx="1">
                  <c:v>1.2250000000000001</c:v>
                </c:pt>
                <c:pt idx="2">
                  <c:v>1.4500000000000002</c:v>
                </c:pt>
                <c:pt idx="3">
                  <c:v>1.6750000000000003</c:v>
                </c:pt>
                <c:pt idx="4">
                  <c:v>1.9000000000000004</c:v>
                </c:pt>
                <c:pt idx="5">
                  <c:v>2.1250000000000004</c:v>
                </c:pt>
                <c:pt idx="6">
                  <c:v>2.3500000000000005</c:v>
                </c:pt>
                <c:pt idx="7">
                  <c:v>2.5750000000000006</c:v>
                </c:pt>
              </c:numCache>
            </c:numRef>
          </c:xVal>
          <c:yVal>
            <c:numRef>
              <c:f>Hoja1!$D$4:$D$11</c:f>
              <c:numCache>
                <c:formatCode>General</c:formatCode>
                <c:ptCount val="8"/>
                <c:pt idx="0">
                  <c:v>2</c:v>
                </c:pt>
                <c:pt idx="1">
                  <c:v>1.9243749999999999</c:v>
                </c:pt>
                <c:pt idx="2">
                  <c:v>1.921875</c:v>
                </c:pt>
                <c:pt idx="3">
                  <c:v>1.8912499999999999</c:v>
                </c:pt>
                <c:pt idx="4">
                  <c:v>1.7312499999999995</c:v>
                </c:pt>
                <c:pt idx="5">
                  <c:v>1.3406249999999988</c:v>
                </c:pt>
                <c:pt idx="6">
                  <c:v>0.61812499999999793</c:v>
                </c:pt>
                <c:pt idx="7">
                  <c:v>-0.53750000000000331</c:v>
                </c:pt>
              </c:numCache>
            </c:numRef>
          </c:yVal>
          <c:smooth val="1"/>
        </c:ser>
        <c:ser>
          <c:idx val="1"/>
          <c:order val="1"/>
          <c:xVal>
            <c:numRef>
              <c:f>Hoja1!$C$4:$C$11</c:f>
              <c:numCache>
                <c:formatCode>General</c:formatCode>
                <c:ptCount val="8"/>
                <c:pt idx="0">
                  <c:v>1</c:v>
                </c:pt>
                <c:pt idx="1">
                  <c:v>1.2250000000000001</c:v>
                </c:pt>
                <c:pt idx="2">
                  <c:v>1.4500000000000002</c:v>
                </c:pt>
                <c:pt idx="3">
                  <c:v>1.6750000000000003</c:v>
                </c:pt>
                <c:pt idx="4">
                  <c:v>1.9000000000000004</c:v>
                </c:pt>
                <c:pt idx="5">
                  <c:v>2.1250000000000004</c:v>
                </c:pt>
                <c:pt idx="6">
                  <c:v>2.3500000000000005</c:v>
                </c:pt>
                <c:pt idx="7">
                  <c:v>2.5750000000000006</c:v>
                </c:pt>
              </c:numCache>
            </c:numRef>
          </c:xVal>
          <c:yVal>
            <c:numRef>
              <c:f>Hoja1!$E$4:$E$11</c:f>
              <c:numCache>
                <c:formatCode>General</c:formatCode>
                <c:ptCount val="8"/>
                <c:pt idx="0">
                  <c:v>3.1</c:v>
                </c:pt>
                <c:pt idx="1">
                  <c:v>3.024375</c:v>
                </c:pt>
                <c:pt idx="2">
                  <c:v>3.0218750000000001</c:v>
                </c:pt>
                <c:pt idx="3">
                  <c:v>2.99125</c:v>
                </c:pt>
                <c:pt idx="4">
                  <c:v>2.8312499999999998</c:v>
                </c:pt>
                <c:pt idx="5">
                  <c:v>2.4406249999999994</c:v>
                </c:pt>
                <c:pt idx="6">
                  <c:v>1.7181249999999983</c:v>
                </c:pt>
                <c:pt idx="7">
                  <c:v>0.56249999999999711</c:v>
                </c:pt>
              </c:numCache>
            </c:numRef>
          </c:yVal>
          <c:smooth val="1"/>
        </c:ser>
        <c:ser>
          <c:idx val="2"/>
          <c:order val="2"/>
          <c:xVal>
            <c:numRef>
              <c:f>Hoja1!$C$4:$C$11</c:f>
              <c:numCache>
                <c:formatCode>General</c:formatCode>
                <c:ptCount val="8"/>
                <c:pt idx="0">
                  <c:v>1</c:v>
                </c:pt>
                <c:pt idx="1">
                  <c:v>1.2250000000000001</c:v>
                </c:pt>
                <c:pt idx="2">
                  <c:v>1.4500000000000002</c:v>
                </c:pt>
                <c:pt idx="3">
                  <c:v>1.6750000000000003</c:v>
                </c:pt>
                <c:pt idx="4">
                  <c:v>1.9000000000000004</c:v>
                </c:pt>
                <c:pt idx="5">
                  <c:v>2.1250000000000004</c:v>
                </c:pt>
                <c:pt idx="6">
                  <c:v>2.3500000000000005</c:v>
                </c:pt>
                <c:pt idx="7">
                  <c:v>2.5750000000000006</c:v>
                </c:pt>
              </c:numCache>
            </c:numRef>
          </c:xVal>
          <c:yVal>
            <c:numRef>
              <c:f>Hoja1!$Y$4:$Y$11</c:f>
              <c:numCache>
                <c:formatCode>General</c:formatCode>
                <c:ptCount val="8"/>
                <c:pt idx="0">
                  <c:v>0.2</c:v>
                </c:pt>
                <c:pt idx="1">
                  <c:v>0.20500000000000013</c:v>
                </c:pt>
                <c:pt idx="2">
                  <c:v>0.43500000000000033</c:v>
                </c:pt>
                <c:pt idx="3">
                  <c:v>0.89000000000000057</c:v>
                </c:pt>
                <c:pt idx="4">
                  <c:v>1.570000000000001</c:v>
                </c:pt>
                <c:pt idx="5">
                  <c:v>2.4750000000000014</c:v>
                </c:pt>
                <c:pt idx="6">
                  <c:v>3.6050000000000022</c:v>
                </c:pt>
                <c:pt idx="7">
                  <c:v>4.9600000000000026</c:v>
                </c:pt>
              </c:numCache>
            </c:numRef>
          </c:yVal>
          <c:smooth val="1"/>
        </c:ser>
        <c:axId val="156228992"/>
        <c:axId val="156382720"/>
      </c:scatterChart>
      <c:valAx>
        <c:axId val="15622899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VE"/>
                  <a:t>Flujo Másico</a:t>
                </a:r>
                <a:endParaRPr/>
              </a:p>
            </c:rich>
          </c:tx>
          <c:layout/>
        </c:title>
        <c:numFmt formatCode="General" sourceLinked="1"/>
        <c:tickLblPos val="nextTo"/>
        <c:crossAx val="156382720"/>
        <c:crosses val="autoZero"/>
        <c:crossBetween val="midCat"/>
      </c:valAx>
      <c:valAx>
        <c:axId val="156382720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s-VE"/>
                  <a:t>Relación de Compresión</a:t>
                </a:r>
                <a:endParaRPr/>
              </a:p>
            </c:rich>
          </c:tx>
          <c:layout/>
        </c:title>
        <c:numFmt formatCode="General" sourceLinked="1"/>
        <c:tickLblPos val="nextTo"/>
        <c:crossAx val="156228992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VE"/>
  <c:chart>
    <c:title>
      <c:tx>
        <c:rich>
          <a:bodyPr/>
          <a:lstStyle/>
          <a:p>
            <a:pPr>
              <a:defRPr/>
            </a:pPr>
            <a:r>
              <a:rPr lang="es-VE"/>
              <a:t>Curva del Compresor</a:t>
            </a:r>
            <a:endParaRPr/>
          </a:p>
        </c:rich>
      </c:tx>
      <c:layout/>
    </c:title>
    <c:plotArea>
      <c:layout/>
      <c:scatterChart>
        <c:scatterStyle val="smoothMarker"/>
        <c:ser>
          <c:idx val="0"/>
          <c:order val="0"/>
          <c:xVal>
            <c:numRef>
              <c:f>Hoja1!$C$4:$C$11</c:f>
              <c:numCache>
                <c:formatCode>General</c:formatCode>
                <c:ptCount val="8"/>
                <c:pt idx="0">
                  <c:v>1</c:v>
                </c:pt>
                <c:pt idx="1">
                  <c:v>1.2250000000000001</c:v>
                </c:pt>
                <c:pt idx="2">
                  <c:v>1.4500000000000002</c:v>
                </c:pt>
                <c:pt idx="3">
                  <c:v>1.6750000000000003</c:v>
                </c:pt>
                <c:pt idx="4">
                  <c:v>1.9000000000000004</c:v>
                </c:pt>
                <c:pt idx="5">
                  <c:v>2.1250000000000004</c:v>
                </c:pt>
                <c:pt idx="6">
                  <c:v>2.3500000000000005</c:v>
                </c:pt>
                <c:pt idx="7">
                  <c:v>2.5750000000000006</c:v>
                </c:pt>
              </c:numCache>
            </c:numRef>
          </c:xVal>
          <c:yVal>
            <c:numRef>
              <c:f>Hoja1!$D$4:$D$11</c:f>
              <c:numCache>
                <c:formatCode>General</c:formatCode>
                <c:ptCount val="8"/>
                <c:pt idx="0">
                  <c:v>2</c:v>
                </c:pt>
                <c:pt idx="1">
                  <c:v>1.9243749999999999</c:v>
                </c:pt>
                <c:pt idx="2">
                  <c:v>1.921875</c:v>
                </c:pt>
                <c:pt idx="3">
                  <c:v>1.8912499999999999</c:v>
                </c:pt>
                <c:pt idx="4">
                  <c:v>1.7312499999999995</c:v>
                </c:pt>
                <c:pt idx="5">
                  <c:v>1.3406249999999988</c:v>
                </c:pt>
                <c:pt idx="6">
                  <c:v>0.61812499999999793</c:v>
                </c:pt>
                <c:pt idx="7">
                  <c:v>-0.53750000000000331</c:v>
                </c:pt>
              </c:numCache>
            </c:numRef>
          </c:yVal>
          <c:smooth val="1"/>
        </c:ser>
        <c:ser>
          <c:idx val="1"/>
          <c:order val="1"/>
          <c:xVal>
            <c:numRef>
              <c:f>Hoja1!$C$4:$C$11</c:f>
              <c:numCache>
                <c:formatCode>General</c:formatCode>
                <c:ptCount val="8"/>
                <c:pt idx="0">
                  <c:v>1</c:v>
                </c:pt>
                <c:pt idx="1">
                  <c:v>1.2250000000000001</c:v>
                </c:pt>
                <c:pt idx="2">
                  <c:v>1.4500000000000002</c:v>
                </c:pt>
                <c:pt idx="3">
                  <c:v>1.6750000000000003</c:v>
                </c:pt>
                <c:pt idx="4">
                  <c:v>1.9000000000000004</c:v>
                </c:pt>
                <c:pt idx="5">
                  <c:v>2.1250000000000004</c:v>
                </c:pt>
                <c:pt idx="6">
                  <c:v>2.3500000000000005</c:v>
                </c:pt>
                <c:pt idx="7">
                  <c:v>2.5750000000000006</c:v>
                </c:pt>
              </c:numCache>
            </c:numRef>
          </c:xVal>
          <c:yVal>
            <c:numRef>
              <c:f>Hoja1!$F$4:$F$11</c:f>
              <c:numCache>
                <c:formatCode>General</c:formatCode>
                <c:ptCount val="8"/>
                <c:pt idx="0">
                  <c:v>4.5</c:v>
                </c:pt>
                <c:pt idx="1">
                  <c:v>4.4243750000000004</c:v>
                </c:pt>
                <c:pt idx="2">
                  <c:v>4.421875</c:v>
                </c:pt>
                <c:pt idx="3">
                  <c:v>4.3912500000000003</c:v>
                </c:pt>
                <c:pt idx="4">
                  <c:v>4.2312500000000002</c:v>
                </c:pt>
                <c:pt idx="5">
                  <c:v>3.8406249999999997</c:v>
                </c:pt>
                <c:pt idx="6">
                  <c:v>3.1181249999999987</c:v>
                </c:pt>
                <c:pt idx="7">
                  <c:v>1.9624999999999975</c:v>
                </c:pt>
              </c:numCache>
            </c:numRef>
          </c:yVal>
          <c:smooth val="1"/>
        </c:ser>
        <c:ser>
          <c:idx val="2"/>
          <c:order val="2"/>
          <c:xVal>
            <c:numRef>
              <c:f>Hoja1!$C$4:$C$11</c:f>
              <c:numCache>
                <c:formatCode>General</c:formatCode>
                <c:ptCount val="8"/>
                <c:pt idx="0">
                  <c:v>1</c:v>
                </c:pt>
                <c:pt idx="1">
                  <c:v>1.2250000000000001</c:v>
                </c:pt>
                <c:pt idx="2">
                  <c:v>1.4500000000000002</c:v>
                </c:pt>
                <c:pt idx="3">
                  <c:v>1.6750000000000003</c:v>
                </c:pt>
                <c:pt idx="4">
                  <c:v>1.9000000000000004</c:v>
                </c:pt>
                <c:pt idx="5">
                  <c:v>2.1250000000000004</c:v>
                </c:pt>
                <c:pt idx="6">
                  <c:v>2.3500000000000005</c:v>
                </c:pt>
                <c:pt idx="7">
                  <c:v>2.5750000000000006</c:v>
                </c:pt>
              </c:numCache>
            </c:numRef>
          </c:xVal>
          <c:yVal>
            <c:numRef>
              <c:f>Hoja1!$Y$4:$Y$11</c:f>
              <c:numCache>
                <c:formatCode>General</c:formatCode>
                <c:ptCount val="8"/>
                <c:pt idx="0">
                  <c:v>0.2</c:v>
                </c:pt>
                <c:pt idx="1">
                  <c:v>0.20500000000000013</c:v>
                </c:pt>
                <c:pt idx="2">
                  <c:v>0.43500000000000033</c:v>
                </c:pt>
                <c:pt idx="3">
                  <c:v>0.89000000000000057</c:v>
                </c:pt>
                <c:pt idx="4">
                  <c:v>1.570000000000001</c:v>
                </c:pt>
                <c:pt idx="5">
                  <c:v>2.4750000000000014</c:v>
                </c:pt>
                <c:pt idx="6">
                  <c:v>3.6050000000000022</c:v>
                </c:pt>
                <c:pt idx="7">
                  <c:v>4.9600000000000026</c:v>
                </c:pt>
              </c:numCache>
            </c:numRef>
          </c:yVal>
          <c:smooth val="1"/>
        </c:ser>
        <c:axId val="156417024"/>
        <c:axId val="156423296"/>
      </c:scatterChart>
      <c:valAx>
        <c:axId val="15641702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VE"/>
                  <a:t>Flujo Másico</a:t>
                </a:r>
                <a:endParaRPr/>
              </a:p>
            </c:rich>
          </c:tx>
          <c:layout/>
        </c:title>
        <c:numFmt formatCode="General" sourceLinked="1"/>
        <c:tickLblPos val="nextTo"/>
        <c:crossAx val="156423296"/>
        <c:crosses val="autoZero"/>
        <c:crossBetween val="midCat"/>
      </c:valAx>
      <c:valAx>
        <c:axId val="156423296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s-VE"/>
                  <a:t>Relación de Compresión</a:t>
                </a:r>
                <a:endParaRPr/>
              </a:p>
            </c:rich>
          </c:tx>
          <c:layout/>
        </c:title>
        <c:numFmt formatCode="General" sourceLinked="1"/>
        <c:tickLblPos val="nextTo"/>
        <c:crossAx val="156417024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VE"/>
  <c:chart>
    <c:title>
      <c:tx>
        <c:rich>
          <a:bodyPr/>
          <a:lstStyle/>
          <a:p>
            <a:pPr>
              <a:defRPr/>
            </a:pPr>
            <a:r>
              <a:rPr lang="es-VE"/>
              <a:t>Curva del Compresor</a:t>
            </a:r>
            <a:endParaRPr/>
          </a:p>
        </c:rich>
      </c:tx>
      <c:layout/>
    </c:title>
    <c:plotArea>
      <c:layout/>
      <c:scatterChart>
        <c:scatterStyle val="smoothMarker"/>
        <c:ser>
          <c:idx val="0"/>
          <c:order val="0"/>
          <c:xVal>
            <c:numRef>
              <c:f>Hoja1!$C$4:$C$11</c:f>
              <c:numCache>
                <c:formatCode>General</c:formatCode>
                <c:ptCount val="8"/>
                <c:pt idx="0">
                  <c:v>1</c:v>
                </c:pt>
                <c:pt idx="1">
                  <c:v>1.2250000000000001</c:v>
                </c:pt>
                <c:pt idx="2">
                  <c:v>1.4500000000000002</c:v>
                </c:pt>
                <c:pt idx="3">
                  <c:v>1.6750000000000003</c:v>
                </c:pt>
                <c:pt idx="4">
                  <c:v>1.9000000000000004</c:v>
                </c:pt>
                <c:pt idx="5">
                  <c:v>2.1250000000000004</c:v>
                </c:pt>
                <c:pt idx="6">
                  <c:v>2.3500000000000005</c:v>
                </c:pt>
                <c:pt idx="7">
                  <c:v>2.5750000000000006</c:v>
                </c:pt>
              </c:numCache>
            </c:numRef>
          </c:xVal>
          <c:yVal>
            <c:numRef>
              <c:f>Hoja1!$D$4:$D$11</c:f>
              <c:numCache>
                <c:formatCode>General</c:formatCode>
                <c:ptCount val="8"/>
                <c:pt idx="0">
                  <c:v>2</c:v>
                </c:pt>
                <c:pt idx="1">
                  <c:v>1.9243749999999999</c:v>
                </c:pt>
                <c:pt idx="2">
                  <c:v>1.921875</c:v>
                </c:pt>
                <c:pt idx="3">
                  <c:v>1.8912499999999999</c:v>
                </c:pt>
                <c:pt idx="4">
                  <c:v>1.7312499999999995</c:v>
                </c:pt>
                <c:pt idx="5">
                  <c:v>1.3406249999999988</c:v>
                </c:pt>
                <c:pt idx="6">
                  <c:v>0.61812499999999793</c:v>
                </c:pt>
                <c:pt idx="7">
                  <c:v>-0.53750000000000331</c:v>
                </c:pt>
              </c:numCache>
            </c:numRef>
          </c:yVal>
          <c:smooth val="1"/>
        </c:ser>
        <c:ser>
          <c:idx val="1"/>
          <c:order val="1"/>
          <c:xVal>
            <c:numRef>
              <c:f>Hoja1!$C$4:$C$11</c:f>
              <c:numCache>
                <c:formatCode>General</c:formatCode>
                <c:ptCount val="8"/>
                <c:pt idx="0">
                  <c:v>1</c:v>
                </c:pt>
                <c:pt idx="1">
                  <c:v>1.2250000000000001</c:v>
                </c:pt>
                <c:pt idx="2">
                  <c:v>1.4500000000000002</c:v>
                </c:pt>
                <c:pt idx="3">
                  <c:v>1.6750000000000003</c:v>
                </c:pt>
                <c:pt idx="4">
                  <c:v>1.9000000000000004</c:v>
                </c:pt>
                <c:pt idx="5">
                  <c:v>2.1250000000000004</c:v>
                </c:pt>
                <c:pt idx="6">
                  <c:v>2.3500000000000005</c:v>
                </c:pt>
                <c:pt idx="7">
                  <c:v>2.5750000000000006</c:v>
                </c:pt>
              </c:numCache>
            </c:numRef>
          </c:xVal>
          <c:yVal>
            <c:numRef>
              <c:f>Hoja1!$E$4:$E$11</c:f>
              <c:numCache>
                <c:formatCode>General</c:formatCode>
                <c:ptCount val="8"/>
                <c:pt idx="0">
                  <c:v>3.1</c:v>
                </c:pt>
                <c:pt idx="1">
                  <c:v>3.024375</c:v>
                </c:pt>
                <c:pt idx="2">
                  <c:v>3.0218750000000001</c:v>
                </c:pt>
                <c:pt idx="3">
                  <c:v>2.99125</c:v>
                </c:pt>
                <c:pt idx="4">
                  <c:v>2.8312499999999998</c:v>
                </c:pt>
                <c:pt idx="5">
                  <c:v>2.4406249999999994</c:v>
                </c:pt>
                <c:pt idx="6">
                  <c:v>1.7181249999999983</c:v>
                </c:pt>
                <c:pt idx="7">
                  <c:v>0.56249999999999711</c:v>
                </c:pt>
              </c:numCache>
            </c:numRef>
          </c:yVal>
          <c:smooth val="1"/>
        </c:ser>
        <c:ser>
          <c:idx val="2"/>
          <c:order val="2"/>
          <c:xVal>
            <c:numRef>
              <c:f>Hoja1!$C$4:$C$11</c:f>
              <c:numCache>
                <c:formatCode>General</c:formatCode>
                <c:ptCount val="8"/>
                <c:pt idx="0">
                  <c:v>1</c:v>
                </c:pt>
                <c:pt idx="1">
                  <c:v>1.2250000000000001</c:v>
                </c:pt>
                <c:pt idx="2">
                  <c:v>1.4500000000000002</c:v>
                </c:pt>
                <c:pt idx="3">
                  <c:v>1.6750000000000003</c:v>
                </c:pt>
                <c:pt idx="4">
                  <c:v>1.9000000000000004</c:v>
                </c:pt>
                <c:pt idx="5">
                  <c:v>2.1250000000000004</c:v>
                </c:pt>
                <c:pt idx="6">
                  <c:v>2.3500000000000005</c:v>
                </c:pt>
                <c:pt idx="7">
                  <c:v>2.5750000000000006</c:v>
                </c:pt>
              </c:numCache>
            </c:numRef>
          </c:xVal>
          <c:yVal>
            <c:numRef>
              <c:f>Hoja1!$Y$4:$Y$11</c:f>
              <c:numCache>
                <c:formatCode>General</c:formatCode>
                <c:ptCount val="8"/>
                <c:pt idx="0">
                  <c:v>0.2</c:v>
                </c:pt>
                <c:pt idx="1">
                  <c:v>0.20500000000000013</c:v>
                </c:pt>
                <c:pt idx="2">
                  <c:v>0.43500000000000033</c:v>
                </c:pt>
                <c:pt idx="3">
                  <c:v>0.89000000000000057</c:v>
                </c:pt>
                <c:pt idx="4">
                  <c:v>1.570000000000001</c:v>
                </c:pt>
                <c:pt idx="5">
                  <c:v>2.4750000000000014</c:v>
                </c:pt>
                <c:pt idx="6">
                  <c:v>3.6050000000000022</c:v>
                </c:pt>
                <c:pt idx="7">
                  <c:v>4.9600000000000026</c:v>
                </c:pt>
              </c:numCache>
            </c:numRef>
          </c:yVal>
          <c:smooth val="1"/>
        </c:ser>
        <c:axId val="156326912"/>
        <c:axId val="156341376"/>
      </c:scatterChart>
      <c:valAx>
        <c:axId val="15632691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VE"/>
                  <a:t>Flujo Másico</a:t>
                </a:r>
                <a:endParaRPr/>
              </a:p>
            </c:rich>
          </c:tx>
          <c:layout/>
        </c:title>
        <c:numFmt formatCode="General" sourceLinked="1"/>
        <c:tickLblPos val="nextTo"/>
        <c:crossAx val="156341376"/>
        <c:crosses val="autoZero"/>
        <c:crossBetween val="midCat"/>
      </c:valAx>
      <c:valAx>
        <c:axId val="156341376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s-VE"/>
                  <a:t>Relación de Compresión</a:t>
                </a:r>
                <a:endParaRPr/>
              </a:p>
            </c:rich>
          </c:tx>
          <c:layout/>
        </c:title>
        <c:numFmt formatCode="General" sourceLinked="1"/>
        <c:tickLblPos val="nextTo"/>
        <c:crossAx val="156326912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VE"/>
  <c:chart>
    <c:title>
      <c:tx>
        <c:rich>
          <a:bodyPr/>
          <a:lstStyle/>
          <a:p>
            <a:pPr>
              <a:defRPr/>
            </a:pPr>
            <a:r>
              <a:rPr lang="es-VE"/>
              <a:t>Curva del Compresor</a:t>
            </a:r>
            <a:endParaRPr/>
          </a:p>
        </c:rich>
      </c:tx>
      <c:layout/>
    </c:title>
    <c:plotArea>
      <c:layout/>
      <c:scatterChart>
        <c:scatterStyle val="smoothMarker"/>
        <c:ser>
          <c:idx val="0"/>
          <c:order val="0"/>
          <c:xVal>
            <c:numRef>
              <c:f>Hoja1!$C$4:$C$11</c:f>
              <c:numCache>
                <c:formatCode>General</c:formatCode>
                <c:ptCount val="8"/>
                <c:pt idx="0">
                  <c:v>1</c:v>
                </c:pt>
                <c:pt idx="1">
                  <c:v>1.2250000000000001</c:v>
                </c:pt>
                <c:pt idx="2">
                  <c:v>1.4500000000000002</c:v>
                </c:pt>
                <c:pt idx="3">
                  <c:v>1.6750000000000003</c:v>
                </c:pt>
                <c:pt idx="4">
                  <c:v>1.9000000000000004</c:v>
                </c:pt>
                <c:pt idx="5">
                  <c:v>2.1250000000000004</c:v>
                </c:pt>
                <c:pt idx="6">
                  <c:v>2.3500000000000005</c:v>
                </c:pt>
                <c:pt idx="7">
                  <c:v>2.5750000000000006</c:v>
                </c:pt>
              </c:numCache>
            </c:numRef>
          </c:xVal>
          <c:yVal>
            <c:numRef>
              <c:f>Hoja1!$D$4:$D$11</c:f>
              <c:numCache>
                <c:formatCode>General</c:formatCode>
                <c:ptCount val="8"/>
                <c:pt idx="0">
                  <c:v>2</c:v>
                </c:pt>
                <c:pt idx="1">
                  <c:v>1.9243749999999999</c:v>
                </c:pt>
                <c:pt idx="2">
                  <c:v>1.921875</c:v>
                </c:pt>
                <c:pt idx="3">
                  <c:v>1.8912499999999999</c:v>
                </c:pt>
                <c:pt idx="4">
                  <c:v>1.7312499999999995</c:v>
                </c:pt>
                <c:pt idx="5">
                  <c:v>1.3406249999999988</c:v>
                </c:pt>
                <c:pt idx="6">
                  <c:v>0.61812499999999793</c:v>
                </c:pt>
                <c:pt idx="7">
                  <c:v>-0.53750000000000331</c:v>
                </c:pt>
              </c:numCache>
            </c:numRef>
          </c:yVal>
          <c:smooth val="1"/>
        </c:ser>
        <c:ser>
          <c:idx val="1"/>
          <c:order val="1"/>
          <c:xVal>
            <c:numRef>
              <c:f>Hoja1!$C$4:$C$11</c:f>
              <c:numCache>
                <c:formatCode>General</c:formatCode>
                <c:ptCount val="8"/>
                <c:pt idx="0">
                  <c:v>1</c:v>
                </c:pt>
                <c:pt idx="1">
                  <c:v>1.2250000000000001</c:v>
                </c:pt>
                <c:pt idx="2">
                  <c:v>1.4500000000000002</c:v>
                </c:pt>
                <c:pt idx="3">
                  <c:v>1.6750000000000003</c:v>
                </c:pt>
                <c:pt idx="4">
                  <c:v>1.9000000000000004</c:v>
                </c:pt>
                <c:pt idx="5">
                  <c:v>2.1250000000000004</c:v>
                </c:pt>
                <c:pt idx="6">
                  <c:v>2.3500000000000005</c:v>
                </c:pt>
                <c:pt idx="7">
                  <c:v>2.5750000000000006</c:v>
                </c:pt>
              </c:numCache>
            </c:numRef>
          </c:xVal>
          <c:yVal>
            <c:numRef>
              <c:f>Hoja1!$F$4:$F$11</c:f>
              <c:numCache>
                <c:formatCode>General</c:formatCode>
                <c:ptCount val="8"/>
                <c:pt idx="0">
                  <c:v>4.5</c:v>
                </c:pt>
                <c:pt idx="1">
                  <c:v>4.4243750000000004</c:v>
                </c:pt>
                <c:pt idx="2">
                  <c:v>4.421875</c:v>
                </c:pt>
                <c:pt idx="3">
                  <c:v>4.3912500000000003</c:v>
                </c:pt>
                <c:pt idx="4">
                  <c:v>4.2312500000000002</c:v>
                </c:pt>
                <c:pt idx="5">
                  <c:v>3.8406249999999997</c:v>
                </c:pt>
                <c:pt idx="6">
                  <c:v>3.1181249999999987</c:v>
                </c:pt>
                <c:pt idx="7">
                  <c:v>1.9624999999999975</c:v>
                </c:pt>
              </c:numCache>
            </c:numRef>
          </c:yVal>
          <c:smooth val="1"/>
        </c:ser>
        <c:ser>
          <c:idx val="2"/>
          <c:order val="2"/>
          <c:xVal>
            <c:numRef>
              <c:f>Hoja1!$C$4:$C$11</c:f>
              <c:numCache>
                <c:formatCode>General</c:formatCode>
                <c:ptCount val="8"/>
                <c:pt idx="0">
                  <c:v>1</c:v>
                </c:pt>
                <c:pt idx="1">
                  <c:v>1.2250000000000001</c:v>
                </c:pt>
                <c:pt idx="2">
                  <c:v>1.4500000000000002</c:v>
                </c:pt>
                <c:pt idx="3">
                  <c:v>1.6750000000000003</c:v>
                </c:pt>
                <c:pt idx="4">
                  <c:v>1.9000000000000004</c:v>
                </c:pt>
                <c:pt idx="5">
                  <c:v>2.1250000000000004</c:v>
                </c:pt>
                <c:pt idx="6">
                  <c:v>2.3500000000000005</c:v>
                </c:pt>
                <c:pt idx="7">
                  <c:v>2.5750000000000006</c:v>
                </c:pt>
              </c:numCache>
            </c:numRef>
          </c:xVal>
          <c:yVal>
            <c:numRef>
              <c:f>Hoja1!$Y$4:$Y$11</c:f>
              <c:numCache>
                <c:formatCode>General</c:formatCode>
                <c:ptCount val="8"/>
                <c:pt idx="0">
                  <c:v>0.2</c:v>
                </c:pt>
                <c:pt idx="1">
                  <c:v>0.20500000000000013</c:v>
                </c:pt>
                <c:pt idx="2">
                  <c:v>0.43500000000000033</c:v>
                </c:pt>
                <c:pt idx="3">
                  <c:v>0.89000000000000057</c:v>
                </c:pt>
                <c:pt idx="4">
                  <c:v>1.570000000000001</c:v>
                </c:pt>
                <c:pt idx="5">
                  <c:v>2.4750000000000014</c:v>
                </c:pt>
                <c:pt idx="6">
                  <c:v>3.6050000000000022</c:v>
                </c:pt>
                <c:pt idx="7">
                  <c:v>4.9600000000000026</c:v>
                </c:pt>
              </c:numCache>
            </c:numRef>
          </c:yVal>
          <c:smooth val="1"/>
        </c:ser>
        <c:axId val="156453888"/>
        <c:axId val="156456064"/>
      </c:scatterChart>
      <c:valAx>
        <c:axId val="15645388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VE"/>
                  <a:t>Flujo Másico</a:t>
                </a:r>
                <a:endParaRPr/>
              </a:p>
            </c:rich>
          </c:tx>
          <c:layout/>
        </c:title>
        <c:numFmt formatCode="General" sourceLinked="1"/>
        <c:tickLblPos val="nextTo"/>
        <c:crossAx val="156456064"/>
        <c:crosses val="autoZero"/>
        <c:crossBetween val="midCat"/>
      </c:valAx>
      <c:valAx>
        <c:axId val="156456064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s-VE"/>
                  <a:t>Relación de Compresión</a:t>
                </a:r>
                <a:endParaRPr/>
              </a:p>
            </c:rich>
          </c:tx>
          <c:layout/>
        </c:title>
        <c:numFmt formatCode="General" sourceLinked="1"/>
        <c:tickLblPos val="nextTo"/>
        <c:crossAx val="156453888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VE"/>
  <c:chart>
    <c:title>
      <c:tx>
        <c:rich>
          <a:bodyPr/>
          <a:lstStyle/>
          <a:p>
            <a:pPr>
              <a:defRPr/>
            </a:pPr>
            <a:r>
              <a:rPr lang="es-VE"/>
              <a:t>Curva del Compresor</a:t>
            </a:r>
            <a:endParaRPr/>
          </a:p>
        </c:rich>
      </c:tx>
      <c:layout/>
    </c:title>
    <c:plotArea>
      <c:layout/>
      <c:scatterChart>
        <c:scatterStyle val="smoothMarker"/>
        <c:ser>
          <c:idx val="0"/>
          <c:order val="0"/>
          <c:xVal>
            <c:numRef>
              <c:f>Hoja1!$C$4:$C$11</c:f>
              <c:numCache>
                <c:formatCode>General</c:formatCode>
                <c:ptCount val="8"/>
                <c:pt idx="0">
                  <c:v>1</c:v>
                </c:pt>
                <c:pt idx="1">
                  <c:v>1.2250000000000001</c:v>
                </c:pt>
                <c:pt idx="2">
                  <c:v>1.4500000000000002</c:v>
                </c:pt>
                <c:pt idx="3">
                  <c:v>1.6750000000000003</c:v>
                </c:pt>
                <c:pt idx="4">
                  <c:v>1.9000000000000004</c:v>
                </c:pt>
                <c:pt idx="5">
                  <c:v>2.1250000000000004</c:v>
                </c:pt>
                <c:pt idx="6">
                  <c:v>2.3500000000000005</c:v>
                </c:pt>
                <c:pt idx="7">
                  <c:v>2.5750000000000006</c:v>
                </c:pt>
              </c:numCache>
            </c:numRef>
          </c:xVal>
          <c:yVal>
            <c:numRef>
              <c:f>Hoja1!$D$4:$D$11</c:f>
              <c:numCache>
                <c:formatCode>General</c:formatCode>
                <c:ptCount val="8"/>
                <c:pt idx="0">
                  <c:v>2</c:v>
                </c:pt>
                <c:pt idx="1">
                  <c:v>1.9243749999999999</c:v>
                </c:pt>
                <c:pt idx="2">
                  <c:v>1.921875</c:v>
                </c:pt>
                <c:pt idx="3">
                  <c:v>1.8912499999999999</c:v>
                </c:pt>
                <c:pt idx="4">
                  <c:v>1.7312499999999995</c:v>
                </c:pt>
                <c:pt idx="5">
                  <c:v>1.3406249999999988</c:v>
                </c:pt>
                <c:pt idx="6">
                  <c:v>0.61812499999999793</c:v>
                </c:pt>
                <c:pt idx="7">
                  <c:v>-0.53750000000000331</c:v>
                </c:pt>
              </c:numCache>
            </c:numRef>
          </c:yVal>
          <c:smooth val="1"/>
        </c:ser>
        <c:ser>
          <c:idx val="1"/>
          <c:order val="1"/>
          <c:xVal>
            <c:numRef>
              <c:f>Hoja1!$C$4:$C$11</c:f>
              <c:numCache>
                <c:formatCode>General</c:formatCode>
                <c:ptCount val="8"/>
                <c:pt idx="0">
                  <c:v>1</c:v>
                </c:pt>
                <c:pt idx="1">
                  <c:v>1.2250000000000001</c:v>
                </c:pt>
                <c:pt idx="2">
                  <c:v>1.4500000000000002</c:v>
                </c:pt>
                <c:pt idx="3">
                  <c:v>1.6750000000000003</c:v>
                </c:pt>
                <c:pt idx="4">
                  <c:v>1.9000000000000004</c:v>
                </c:pt>
                <c:pt idx="5">
                  <c:v>2.1250000000000004</c:v>
                </c:pt>
                <c:pt idx="6">
                  <c:v>2.3500000000000005</c:v>
                </c:pt>
                <c:pt idx="7">
                  <c:v>2.5750000000000006</c:v>
                </c:pt>
              </c:numCache>
            </c:numRef>
          </c:xVal>
          <c:yVal>
            <c:numRef>
              <c:f>Hoja1!$Y$4:$Y$11</c:f>
              <c:numCache>
                <c:formatCode>General</c:formatCode>
                <c:ptCount val="8"/>
                <c:pt idx="0">
                  <c:v>0.2</c:v>
                </c:pt>
                <c:pt idx="1">
                  <c:v>0.20500000000000013</c:v>
                </c:pt>
                <c:pt idx="2">
                  <c:v>0.43500000000000033</c:v>
                </c:pt>
                <c:pt idx="3">
                  <c:v>0.89000000000000057</c:v>
                </c:pt>
                <c:pt idx="4">
                  <c:v>1.570000000000001</c:v>
                </c:pt>
                <c:pt idx="5">
                  <c:v>2.4750000000000014</c:v>
                </c:pt>
                <c:pt idx="6">
                  <c:v>3.6050000000000022</c:v>
                </c:pt>
                <c:pt idx="7">
                  <c:v>4.9600000000000026</c:v>
                </c:pt>
              </c:numCache>
            </c:numRef>
          </c:yVal>
          <c:smooth val="1"/>
        </c:ser>
        <c:axId val="156477312"/>
        <c:axId val="156495872"/>
      </c:scatterChart>
      <c:valAx>
        <c:axId val="15647731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VE"/>
                  <a:t>Flujo Másico</a:t>
                </a:r>
                <a:endParaRPr/>
              </a:p>
            </c:rich>
          </c:tx>
          <c:layout/>
        </c:title>
        <c:numFmt formatCode="General" sourceLinked="1"/>
        <c:tickLblPos val="nextTo"/>
        <c:crossAx val="156495872"/>
        <c:crosses val="autoZero"/>
        <c:crossBetween val="midCat"/>
      </c:valAx>
      <c:valAx>
        <c:axId val="156495872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s-VE"/>
                  <a:t>Relación de Compresión</a:t>
                </a:r>
                <a:endParaRPr/>
              </a:p>
            </c:rich>
          </c:tx>
          <c:layout/>
        </c:title>
        <c:numFmt formatCode="General" sourceLinked="1"/>
        <c:tickLblPos val="nextTo"/>
        <c:crossAx val="156477312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VE"/>
  <c:chart>
    <c:title>
      <c:tx>
        <c:rich>
          <a:bodyPr/>
          <a:lstStyle/>
          <a:p>
            <a:pPr>
              <a:defRPr/>
            </a:pPr>
            <a:r>
              <a:rPr lang="es-VE"/>
              <a:t>Curva del Compresor</a:t>
            </a:r>
            <a:endParaRPr/>
          </a:p>
        </c:rich>
      </c:tx>
      <c:layout/>
    </c:title>
    <c:plotArea>
      <c:layout/>
      <c:scatterChart>
        <c:scatterStyle val="smoothMarker"/>
        <c:ser>
          <c:idx val="0"/>
          <c:order val="0"/>
          <c:xVal>
            <c:numRef>
              <c:f>Hoja1!$C$4:$C$11</c:f>
              <c:numCache>
                <c:formatCode>General</c:formatCode>
                <c:ptCount val="8"/>
                <c:pt idx="0">
                  <c:v>1</c:v>
                </c:pt>
                <c:pt idx="1">
                  <c:v>1.2250000000000001</c:v>
                </c:pt>
                <c:pt idx="2">
                  <c:v>1.4500000000000002</c:v>
                </c:pt>
                <c:pt idx="3">
                  <c:v>1.6750000000000003</c:v>
                </c:pt>
                <c:pt idx="4">
                  <c:v>1.9000000000000004</c:v>
                </c:pt>
                <c:pt idx="5">
                  <c:v>2.1250000000000004</c:v>
                </c:pt>
                <c:pt idx="6">
                  <c:v>2.3500000000000005</c:v>
                </c:pt>
                <c:pt idx="7">
                  <c:v>2.5750000000000006</c:v>
                </c:pt>
              </c:numCache>
            </c:numRef>
          </c:xVal>
          <c:yVal>
            <c:numRef>
              <c:f>Hoja1!$D$4:$D$11</c:f>
              <c:numCache>
                <c:formatCode>General</c:formatCode>
                <c:ptCount val="8"/>
                <c:pt idx="0">
                  <c:v>2</c:v>
                </c:pt>
                <c:pt idx="1">
                  <c:v>1.9243749999999999</c:v>
                </c:pt>
                <c:pt idx="2">
                  <c:v>1.921875</c:v>
                </c:pt>
                <c:pt idx="3">
                  <c:v>1.8912499999999999</c:v>
                </c:pt>
                <c:pt idx="4">
                  <c:v>1.7312499999999995</c:v>
                </c:pt>
                <c:pt idx="5">
                  <c:v>1.3406249999999988</c:v>
                </c:pt>
                <c:pt idx="6">
                  <c:v>0.61812499999999793</c:v>
                </c:pt>
                <c:pt idx="7">
                  <c:v>-0.53750000000000331</c:v>
                </c:pt>
              </c:numCache>
            </c:numRef>
          </c:yVal>
          <c:smooth val="1"/>
        </c:ser>
        <c:ser>
          <c:idx val="1"/>
          <c:order val="1"/>
          <c:xVal>
            <c:numRef>
              <c:f>Hoja1!$C$4:$C$11</c:f>
              <c:numCache>
                <c:formatCode>General</c:formatCode>
                <c:ptCount val="8"/>
                <c:pt idx="0">
                  <c:v>1</c:v>
                </c:pt>
                <c:pt idx="1">
                  <c:v>1.2250000000000001</c:v>
                </c:pt>
                <c:pt idx="2">
                  <c:v>1.4500000000000002</c:v>
                </c:pt>
                <c:pt idx="3">
                  <c:v>1.6750000000000003</c:v>
                </c:pt>
                <c:pt idx="4">
                  <c:v>1.9000000000000004</c:v>
                </c:pt>
                <c:pt idx="5">
                  <c:v>2.1250000000000004</c:v>
                </c:pt>
                <c:pt idx="6">
                  <c:v>2.3500000000000005</c:v>
                </c:pt>
                <c:pt idx="7">
                  <c:v>2.5750000000000006</c:v>
                </c:pt>
              </c:numCache>
            </c:numRef>
          </c:xVal>
          <c:yVal>
            <c:numRef>
              <c:f>Hoja1!$E$4:$E$11</c:f>
              <c:numCache>
                <c:formatCode>General</c:formatCode>
                <c:ptCount val="8"/>
                <c:pt idx="0">
                  <c:v>3.1</c:v>
                </c:pt>
                <c:pt idx="1">
                  <c:v>3.024375</c:v>
                </c:pt>
                <c:pt idx="2">
                  <c:v>3.0218750000000001</c:v>
                </c:pt>
                <c:pt idx="3">
                  <c:v>2.99125</c:v>
                </c:pt>
                <c:pt idx="4">
                  <c:v>2.8312499999999998</c:v>
                </c:pt>
                <c:pt idx="5">
                  <c:v>2.4406249999999994</c:v>
                </c:pt>
                <c:pt idx="6">
                  <c:v>1.7181249999999983</c:v>
                </c:pt>
                <c:pt idx="7">
                  <c:v>0.56249999999999711</c:v>
                </c:pt>
              </c:numCache>
            </c:numRef>
          </c:yVal>
          <c:smooth val="1"/>
        </c:ser>
        <c:ser>
          <c:idx val="2"/>
          <c:order val="2"/>
          <c:xVal>
            <c:numRef>
              <c:f>Hoja1!$C$4:$C$11</c:f>
              <c:numCache>
                <c:formatCode>General</c:formatCode>
                <c:ptCount val="8"/>
                <c:pt idx="0">
                  <c:v>1</c:v>
                </c:pt>
                <c:pt idx="1">
                  <c:v>1.2250000000000001</c:v>
                </c:pt>
                <c:pt idx="2">
                  <c:v>1.4500000000000002</c:v>
                </c:pt>
                <c:pt idx="3">
                  <c:v>1.6750000000000003</c:v>
                </c:pt>
                <c:pt idx="4">
                  <c:v>1.9000000000000004</c:v>
                </c:pt>
                <c:pt idx="5">
                  <c:v>2.1250000000000004</c:v>
                </c:pt>
                <c:pt idx="6">
                  <c:v>2.3500000000000005</c:v>
                </c:pt>
                <c:pt idx="7">
                  <c:v>2.5750000000000006</c:v>
                </c:pt>
              </c:numCache>
            </c:numRef>
          </c:xVal>
          <c:yVal>
            <c:numRef>
              <c:f>Hoja1!$Y$4:$Y$11</c:f>
              <c:numCache>
                <c:formatCode>General</c:formatCode>
                <c:ptCount val="8"/>
                <c:pt idx="0">
                  <c:v>0.2</c:v>
                </c:pt>
                <c:pt idx="1">
                  <c:v>0.20500000000000013</c:v>
                </c:pt>
                <c:pt idx="2">
                  <c:v>0.43500000000000033</c:v>
                </c:pt>
                <c:pt idx="3">
                  <c:v>0.89000000000000057</c:v>
                </c:pt>
                <c:pt idx="4">
                  <c:v>1.570000000000001</c:v>
                </c:pt>
                <c:pt idx="5">
                  <c:v>2.4750000000000014</c:v>
                </c:pt>
                <c:pt idx="6">
                  <c:v>3.6050000000000022</c:v>
                </c:pt>
                <c:pt idx="7">
                  <c:v>4.9600000000000026</c:v>
                </c:pt>
              </c:numCache>
            </c:numRef>
          </c:yVal>
          <c:smooth val="1"/>
        </c:ser>
        <c:axId val="156489600"/>
        <c:axId val="156536832"/>
      </c:scatterChart>
      <c:valAx>
        <c:axId val="15648960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VE"/>
                  <a:t>Flujo Másico</a:t>
                </a:r>
                <a:endParaRPr/>
              </a:p>
            </c:rich>
          </c:tx>
          <c:layout/>
        </c:title>
        <c:numFmt formatCode="General" sourceLinked="1"/>
        <c:tickLblPos val="nextTo"/>
        <c:crossAx val="156536832"/>
        <c:crosses val="autoZero"/>
        <c:crossBetween val="midCat"/>
      </c:valAx>
      <c:valAx>
        <c:axId val="156536832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s-VE"/>
                  <a:t>Relación de Compresión</a:t>
                </a:r>
                <a:endParaRPr/>
              </a:p>
            </c:rich>
          </c:tx>
          <c:layout/>
        </c:title>
        <c:numFmt formatCode="General" sourceLinked="1"/>
        <c:tickLblPos val="nextTo"/>
        <c:crossAx val="156489600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VE"/>
  <c:chart>
    <c:title>
      <c:tx>
        <c:rich>
          <a:bodyPr/>
          <a:lstStyle/>
          <a:p>
            <a:pPr>
              <a:defRPr/>
            </a:pPr>
            <a:r>
              <a:rPr lang="es-VE"/>
              <a:t>Curva del Compresor</a:t>
            </a:r>
            <a:endParaRPr/>
          </a:p>
        </c:rich>
      </c:tx>
      <c:layout/>
    </c:title>
    <c:plotArea>
      <c:layout/>
      <c:scatterChart>
        <c:scatterStyle val="smoothMarker"/>
        <c:ser>
          <c:idx val="0"/>
          <c:order val="0"/>
          <c:xVal>
            <c:numRef>
              <c:f>Hoja1!$C$4:$C$11</c:f>
              <c:numCache>
                <c:formatCode>General</c:formatCode>
                <c:ptCount val="8"/>
                <c:pt idx="0">
                  <c:v>1</c:v>
                </c:pt>
                <c:pt idx="1">
                  <c:v>1.2250000000000001</c:v>
                </c:pt>
                <c:pt idx="2">
                  <c:v>1.4500000000000002</c:v>
                </c:pt>
                <c:pt idx="3">
                  <c:v>1.6750000000000003</c:v>
                </c:pt>
                <c:pt idx="4">
                  <c:v>1.9000000000000004</c:v>
                </c:pt>
                <c:pt idx="5">
                  <c:v>2.1250000000000004</c:v>
                </c:pt>
                <c:pt idx="6">
                  <c:v>2.3500000000000005</c:v>
                </c:pt>
                <c:pt idx="7">
                  <c:v>2.5750000000000006</c:v>
                </c:pt>
              </c:numCache>
            </c:numRef>
          </c:xVal>
          <c:yVal>
            <c:numRef>
              <c:f>Hoja1!$D$4:$D$11</c:f>
              <c:numCache>
                <c:formatCode>General</c:formatCode>
                <c:ptCount val="8"/>
                <c:pt idx="0">
                  <c:v>2</c:v>
                </c:pt>
                <c:pt idx="1">
                  <c:v>1.9243749999999999</c:v>
                </c:pt>
                <c:pt idx="2">
                  <c:v>1.921875</c:v>
                </c:pt>
                <c:pt idx="3">
                  <c:v>1.8912499999999999</c:v>
                </c:pt>
                <c:pt idx="4">
                  <c:v>1.7312499999999995</c:v>
                </c:pt>
                <c:pt idx="5">
                  <c:v>1.3406249999999988</c:v>
                </c:pt>
                <c:pt idx="6">
                  <c:v>0.61812499999999793</c:v>
                </c:pt>
                <c:pt idx="7">
                  <c:v>-0.53750000000000331</c:v>
                </c:pt>
              </c:numCache>
            </c:numRef>
          </c:yVal>
          <c:smooth val="1"/>
        </c:ser>
        <c:ser>
          <c:idx val="1"/>
          <c:order val="1"/>
          <c:xVal>
            <c:numRef>
              <c:f>Hoja1!$C$4:$C$11</c:f>
              <c:numCache>
                <c:formatCode>General</c:formatCode>
                <c:ptCount val="8"/>
                <c:pt idx="0">
                  <c:v>1</c:v>
                </c:pt>
                <c:pt idx="1">
                  <c:v>1.2250000000000001</c:v>
                </c:pt>
                <c:pt idx="2">
                  <c:v>1.4500000000000002</c:v>
                </c:pt>
                <c:pt idx="3">
                  <c:v>1.6750000000000003</c:v>
                </c:pt>
                <c:pt idx="4">
                  <c:v>1.9000000000000004</c:v>
                </c:pt>
                <c:pt idx="5">
                  <c:v>2.1250000000000004</c:v>
                </c:pt>
                <c:pt idx="6">
                  <c:v>2.3500000000000005</c:v>
                </c:pt>
                <c:pt idx="7">
                  <c:v>2.5750000000000006</c:v>
                </c:pt>
              </c:numCache>
            </c:numRef>
          </c:xVal>
          <c:yVal>
            <c:numRef>
              <c:f>Hoja1!$G$4:$G$11</c:f>
              <c:numCache>
                <c:formatCode>General</c:formatCode>
                <c:ptCount val="8"/>
                <c:pt idx="0">
                  <c:v>6</c:v>
                </c:pt>
                <c:pt idx="1">
                  <c:v>5.9243750000000004</c:v>
                </c:pt>
                <c:pt idx="2">
                  <c:v>5.921875</c:v>
                </c:pt>
                <c:pt idx="3">
                  <c:v>5.8912500000000003</c:v>
                </c:pt>
                <c:pt idx="4">
                  <c:v>5.7312500000000002</c:v>
                </c:pt>
                <c:pt idx="5">
                  <c:v>5.3406249999999993</c:v>
                </c:pt>
                <c:pt idx="6">
                  <c:v>4.6181249999999983</c:v>
                </c:pt>
                <c:pt idx="7">
                  <c:v>3.4624999999999968</c:v>
                </c:pt>
              </c:numCache>
            </c:numRef>
          </c:yVal>
          <c:smooth val="1"/>
        </c:ser>
        <c:ser>
          <c:idx val="2"/>
          <c:order val="2"/>
          <c:xVal>
            <c:numRef>
              <c:f>Hoja1!$C$4:$C$11</c:f>
              <c:numCache>
                <c:formatCode>General</c:formatCode>
                <c:ptCount val="8"/>
                <c:pt idx="0">
                  <c:v>1</c:v>
                </c:pt>
                <c:pt idx="1">
                  <c:v>1.2250000000000001</c:v>
                </c:pt>
                <c:pt idx="2">
                  <c:v>1.4500000000000002</c:v>
                </c:pt>
                <c:pt idx="3">
                  <c:v>1.6750000000000003</c:v>
                </c:pt>
                <c:pt idx="4">
                  <c:v>1.9000000000000004</c:v>
                </c:pt>
                <c:pt idx="5">
                  <c:v>2.1250000000000004</c:v>
                </c:pt>
                <c:pt idx="6">
                  <c:v>2.3500000000000005</c:v>
                </c:pt>
                <c:pt idx="7">
                  <c:v>2.5750000000000006</c:v>
                </c:pt>
              </c:numCache>
            </c:numRef>
          </c:xVal>
          <c:yVal>
            <c:numRef>
              <c:f>Hoja1!$Y$4:$Y$11</c:f>
              <c:numCache>
                <c:formatCode>General</c:formatCode>
                <c:ptCount val="8"/>
                <c:pt idx="0">
                  <c:v>0.2</c:v>
                </c:pt>
                <c:pt idx="1">
                  <c:v>0.20500000000000013</c:v>
                </c:pt>
                <c:pt idx="2">
                  <c:v>0.43500000000000033</c:v>
                </c:pt>
                <c:pt idx="3">
                  <c:v>0.89000000000000057</c:v>
                </c:pt>
                <c:pt idx="4">
                  <c:v>1.570000000000001</c:v>
                </c:pt>
                <c:pt idx="5">
                  <c:v>2.4750000000000014</c:v>
                </c:pt>
                <c:pt idx="6">
                  <c:v>3.6050000000000022</c:v>
                </c:pt>
                <c:pt idx="7">
                  <c:v>4.9600000000000026</c:v>
                </c:pt>
              </c:numCache>
            </c:numRef>
          </c:yVal>
          <c:smooth val="1"/>
        </c:ser>
        <c:axId val="156710400"/>
        <c:axId val="156712320"/>
      </c:scatterChart>
      <c:valAx>
        <c:axId val="15671040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VE"/>
                  <a:t>Flujo Másico</a:t>
                </a:r>
                <a:endParaRPr/>
              </a:p>
            </c:rich>
          </c:tx>
          <c:layout/>
        </c:title>
        <c:numFmt formatCode="General" sourceLinked="1"/>
        <c:tickLblPos val="nextTo"/>
        <c:crossAx val="156712320"/>
        <c:crosses val="autoZero"/>
        <c:crossBetween val="midCat"/>
      </c:valAx>
      <c:valAx>
        <c:axId val="156712320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s-VE"/>
                  <a:t>Relación de Compresión</a:t>
                </a:r>
                <a:endParaRPr/>
              </a:p>
            </c:rich>
          </c:tx>
          <c:layout/>
        </c:title>
        <c:numFmt formatCode="General" sourceLinked="1"/>
        <c:tickLblPos val="nextTo"/>
        <c:crossAx val="156710400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VE"/>
  <c:chart>
    <c:title>
      <c:tx>
        <c:rich>
          <a:bodyPr/>
          <a:lstStyle/>
          <a:p>
            <a:pPr>
              <a:defRPr/>
            </a:pPr>
            <a:r>
              <a:rPr lang="es-VE"/>
              <a:t>Curva del Compresor</a:t>
            </a:r>
            <a:endParaRPr/>
          </a:p>
        </c:rich>
      </c:tx>
      <c:layout/>
    </c:title>
    <c:plotArea>
      <c:layout/>
      <c:scatterChart>
        <c:scatterStyle val="smoothMarker"/>
        <c:ser>
          <c:idx val="0"/>
          <c:order val="0"/>
          <c:xVal>
            <c:numRef>
              <c:f>Hoja1!$AD$4:$AD$11</c:f>
              <c:numCache>
                <c:formatCode>General</c:formatCode>
                <c:ptCount val="8"/>
                <c:pt idx="0">
                  <c:v>1</c:v>
                </c:pt>
                <c:pt idx="1">
                  <c:v>1.2250000000000001</c:v>
                </c:pt>
                <c:pt idx="2">
                  <c:v>1.4500000000000002</c:v>
                </c:pt>
                <c:pt idx="3">
                  <c:v>1.6750000000000003</c:v>
                </c:pt>
                <c:pt idx="4">
                  <c:v>1.9000000000000004</c:v>
                </c:pt>
                <c:pt idx="5">
                  <c:v>2.1250000000000004</c:v>
                </c:pt>
                <c:pt idx="6">
                  <c:v>2.3500000000000005</c:v>
                </c:pt>
                <c:pt idx="7">
                  <c:v>2.5750000000000006</c:v>
                </c:pt>
              </c:numCache>
            </c:numRef>
          </c:xVal>
          <c:yVal>
            <c:numRef>
              <c:f>Hoja1!$D$4:$D$11</c:f>
              <c:numCache>
                <c:formatCode>General</c:formatCode>
                <c:ptCount val="8"/>
                <c:pt idx="0">
                  <c:v>2</c:v>
                </c:pt>
                <c:pt idx="1">
                  <c:v>1.9243749999999999</c:v>
                </c:pt>
                <c:pt idx="2">
                  <c:v>1.921875</c:v>
                </c:pt>
                <c:pt idx="3">
                  <c:v>1.8912499999999999</c:v>
                </c:pt>
                <c:pt idx="4">
                  <c:v>1.7312499999999995</c:v>
                </c:pt>
                <c:pt idx="5">
                  <c:v>1.3406249999999988</c:v>
                </c:pt>
                <c:pt idx="6">
                  <c:v>0.61812499999999793</c:v>
                </c:pt>
                <c:pt idx="7">
                  <c:v>-0.53750000000000331</c:v>
                </c:pt>
              </c:numCache>
            </c:numRef>
          </c:yVal>
          <c:smooth val="1"/>
        </c:ser>
        <c:ser>
          <c:idx val="1"/>
          <c:order val="1"/>
          <c:xVal>
            <c:numRef>
              <c:f>Hoja1!$AE$4:$AE$11</c:f>
              <c:numCache>
                <c:formatCode>General</c:formatCode>
                <c:ptCount val="8"/>
                <c:pt idx="0">
                  <c:v>1.25</c:v>
                </c:pt>
                <c:pt idx="1">
                  <c:v>1.4750000000000001</c:v>
                </c:pt>
                <c:pt idx="2">
                  <c:v>1.7000000000000002</c:v>
                </c:pt>
                <c:pt idx="3">
                  <c:v>1.9250000000000003</c:v>
                </c:pt>
                <c:pt idx="4">
                  <c:v>2.1500000000000004</c:v>
                </c:pt>
                <c:pt idx="5">
                  <c:v>2.3750000000000004</c:v>
                </c:pt>
                <c:pt idx="6">
                  <c:v>2.6000000000000005</c:v>
                </c:pt>
                <c:pt idx="7">
                  <c:v>2.8250000000000006</c:v>
                </c:pt>
              </c:numCache>
            </c:numRef>
          </c:xVal>
          <c:yVal>
            <c:numRef>
              <c:f>Hoja1!$E$4:$E$11</c:f>
              <c:numCache>
                <c:formatCode>General</c:formatCode>
                <c:ptCount val="8"/>
                <c:pt idx="0">
                  <c:v>3.1</c:v>
                </c:pt>
                <c:pt idx="1">
                  <c:v>3.024375</c:v>
                </c:pt>
                <c:pt idx="2">
                  <c:v>3.0218750000000001</c:v>
                </c:pt>
                <c:pt idx="3">
                  <c:v>2.99125</c:v>
                </c:pt>
                <c:pt idx="4">
                  <c:v>2.8312499999999998</c:v>
                </c:pt>
                <c:pt idx="5">
                  <c:v>2.4406249999999994</c:v>
                </c:pt>
                <c:pt idx="6">
                  <c:v>1.7181249999999983</c:v>
                </c:pt>
                <c:pt idx="7">
                  <c:v>0.56249999999999711</c:v>
                </c:pt>
              </c:numCache>
            </c:numRef>
          </c:yVal>
          <c:smooth val="1"/>
        </c:ser>
        <c:ser>
          <c:idx val="2"/>
          <c:order val="2"/>
          <c:xVal>
            <c:numRef>
              <c:f>Hoja1!$AF$4:$AF$11</c:f>
              <c:numCache>
                <c:formatCode>General</c:formatCode>
                <c:ptCount val="8"/>
                <c:pt idx="0">
                  <c:v>1.35</c:v>
                </c:pt>
                <c:pt idx="1">
                  <c:v>1.5750000000000002</c:v>
                </c:pt>
                <c:pt idx="2">
                  <c:v>1.8000000000000003</c:v>
                </c:pt>
                <c:pt idx="3">
                  <c:v>2.0250000000000004</c:v>
                </c:pt>
                <c:pt idx="4">
                  <c:v>2.2500000000000004</c:v>
                </c:pt>
                <c:pt idx="5">
                  <c:v>2.4750000000000005</c:v>
                </c:pt>
                <c:pt idx="6">
                  <c:v>2.7000000000000006</c:v>
                </c:pt>
                <c:pt idx="7">
                  <c:v>2.9250000000000007</c:v>
                </c:pt>
              </c:numCache>
            </c:numRef>
          </c:xVal>
          <c:yVal>
            <c:numRef>
              <c:f>Hoja1!$F$4:$F$11</c:f>
              <c:numCache>
                <c:formatCode>General</c:formatCode>
                <c:ptCount val="8"/>
                <c:pt idx="0">
                  <c:v>4.5</c:v>
                </c:pt>
                <c:pt idx="1">
                  <c:v>4.4243750000000004</c:v>
                </c:pt>
                <c:pt idx="2">
                  <c:v>4.421875</c:v>
                </c:pt>
                <c:pt idx="3">
                  <c:v>4.3912500000000003</c:v>
                </c:pt>
                <c:pt idx="4">
                  <c:v>4.2312500000000002</c:v>
                </c:pt>
                <c:pt idx="5">
                  <c:v>3.8406249999999997</c:v>
                </c:pt>
                <c:pt idx="6">
                  <c:v>3.1181249999999987</c:v>
                </c:pt>
                <c:pt idx="7">
                  <c:v>1.9624999999999975</c:v>
                </c:pt>
              </c:numCache>
            </c:numRef>
          </c:yVal>
          <c:smooth val="1"/>
        </c:ser>
        <c:ser>
          <c:idx val="3"/>
          <c:order val="3"/>
          <c:xVal>
            <c:numRef>
              <c:f>Hoja1!$AG$4:$AG$11</c:f>
              <c:numCache>
                <c:formatCode>General</c:formatCode>
                <c:ptCount val="8"/>
                <c:pt idx="0">
                  <c:v>1.5</c:v>
                </c:pt>
                <c:pt idx="1">
                  <c:v>1.7250000000000001</c:v>
                </c:pt>
                <c:pt idx="2">
                  <c:v>1.9500000000000002</c:v>
                </c:pt>
                <c:pt idx="3">
                  <c:v>2.1750000000000003</c:v>
                </c:pt>
                <c:pt idx="4">
                  <c:v>2.4000000000000004</c:v>
                </c:pt>
                <c:pt idx="5">
                  <c:v>2.6250000000000004</c:v>
                </c:pt>
                <c:pt idx="6">
                  <c:v>2.8500000000000005</c:v>
                </c:pt>
                <c:pt idx="7">
                  <c:v>3.0750000000000006</c:v>
                </c:pt>
              </c:numCache>
            </c:numRef>
          </c:xVal>
          <c:yVal>
            <c:numRef>
              <c:f>Hoja1!$G$4:$G$11</c:f>
              <c:numCache>
                <c:formatCode>General</c:formatCode>
                <c:ptCount val="8"/>
                <c:pt idx="0">
                  <c:v>6</c:v>
                </c:pt>
                <c:pt idx="1">
                  <c:v>5.9243750000000004</c:v>
                </c:pt>
                <c:pt idx="2">
                  <c:v>5.921875</c:v>
                </c:pt>
                <c:pt idx="3">
                  <c:v>5.8912500000000003</c:v>
                </c:pt>
                <c:pt idx="4">
                  <c:v>5.7312500000000002</c:v>
                </c:pt>
                <c:pt idx="5">
                  <c:v>5.3406249999999993</c:v>
                </c:pt>
                <c:pt idx="6">
                  <c:v>4.6181249999999983</c:v>
                </c:pt>
                <c:pt idx="7">
                  <c:v>3.4624999999999968</c:v>
                </c:pt>
              </c:numCache>
            </c:numRef>
          </c:yVal>
          <c:smooth val="1"/>
        </c:ser>
        <c:axId val="156755840"/>
        <c:axId val="156631040"/>
      </c:scatterChart>
      <c:valAx>
        <c:axId val="15675584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VE"/>
                  <a:t>Flujo Másico</a:t>
                </a:r>
                <a:endParaRPr/>
              </a:p>
            </c:rich>
          </c:tx>
          <c:layout/>
        </c:title>
        <c:numFmt formatCode="General" sourceLinked="1"/>
        <c:tickLblPos val="nextTo"/>
        <c:crossAx val="156631040"/>
        <c:crosses val="autoZero"/>
        <c:crossBetween val="midCat"/>
      </c:valAx>
      <c:valAx>
        <c:axId val="156631040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s-VE"/>
                  <a:t>Relación de Compresión</a:t>
                </a:r>
                <a:endParaRPr/>
              </a:p>
            </c:rich>
          </c:tx>
          <c:layout/>
        </c:title>
        <c:numFmt formatCode="General" sourceLinked="1"/>
        <c:tickLblPos val="nextTo"/>
        <c:crossAx val="156755840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VE"/>
  <c:chart>
    <c:title>
      <c:tx>
        <c:rich>
          <a:bodyPr/>
          <a:lstStyle/>
          <a:p>
            <a:pPr>
              <a:defRPr/>
            </a:pPr>
            <a:r>
              <a:rPr lang="es-VE"/>
              <a:t>Curva del sistema cambio de punto de operación</a:t>
            </a:r>
            <a:endParaRPr/>
          </a:p>
        </c:rich>
      </c:tx>
      <c:layout/>
    </c:title>
    <c:plotArea>
      <c:layout/>
      <c:scatterChart>
        <c:scatterStyle val="smoothMarker"/>
        <c:ser>
          <c:idx val="0"/>
          <c:order val="0"/>
          <c:xVal>
            <c:numRef>
              <c:f>Hoja1!$C$4:$C$11</c:f>
              <c:numCache>
                <c:formatCode>General</c:formatCode>
                <c:ptCount val="8"/>
                <c:pt idx="0">
                  <c:v>1</c:v>
                </c:pt>
                <c:pt idx="1">
                  <c:v>1.2250000000000001</c:v>
                </c:pt>
                <c:pt idx="2">
                  <c:v>1.4500000000000002</c:v>
                </c:pt>
                <c:pt idx="3">
                  <c:v>1.6750000000000003</c:v>
                </c:pt>
                <c:pt idx="4">
                  <c:v>1.9000000000000004</c:v>
                </c:pt>
                <c:pt idx="5">
                  <c:v>2.1250000000000004</c:v>
                </c:pt>
                <c:pt idx="6">
                  <c:v>2.3500000000000005</c:v>
                </c:pt>
                <c:pt idx="7">
                  <c:v>2.5750000000000006</c:v>
                </c:pt>
              </c:numCache>
            </c:numRef>
          </c:xVal>
          <c:yVal>
            <c:numRef>
              <c:f>Hoja1!$D$4:$D$11</c:f>
              <c:numCache>
                <c:formatCode>General</c:formatCode>
                <c:ptCount val="8"/>
                <c:pt idx="0">
                  <c:v>2</c:v>
                </c:pt>
                <c:pt idx="1">
                  <c:v>1.9243749999999999</c:v>
                </c:pt>
                <c:pt idx="2">
                  <c:v>1.921875</c:v>
                </c:pt>
                <c:pt idx="3">
                  <c:v>1.8912499999999999</c:v>
                </c:pt>
                <c:pt idx="4">
                  <c:v>1.7312499999999995</c:v>
                </c:pt>
                <c:pt idx="5">
                  <c:v>1.3406249999999988</c:v>
                </c:pt>
                <c:pt idx="6">
                  <c:v>0.61812499999999793</c:v>
                </c:pt>
                <c:pt idx="7">
                  <c:v>-0.53750000000000331</c:v>
                </c:pt>
              </c:numCache>
            </c:numRef>
          </c:yVal>
          <c:smooth val="1"/>
        </c:ser>
        <c:ser>
          <c:idx val="1"/>
          <c:order val="1"/>
          <c:xVal>
            <c:numRef>
              <c:f>Hoja1!$H$4:$H$1048576</c:f>
              <c:numCache>
                <c:formatCode>General</c:formatCode>
                <c:ptCount val="1048573"/>
              </c:numCache>
            </c:numRef>
          </c:xVal>
          <c:yVal>
            <c:numRef>
              <c:f>Hoja1!$E$4:$E$11</c:f>
              <c:numCache>
                <c:formatCode>General</c:formatCode>
                <c:ptCount val="8"/>
                <c:pt idx="0">
                  <c:v>3.1</c:v>
                </c:pt>
                <c:pt idx="1">
                  <c:v>3.024375</c:v>
                </c:pt>
                <c:pt idx="2">
                  <c:v>3.0218750000000001</c:v>
                </c:pt>
                <c:pt idx="3">
                  <c:v>2.99125</c:v>
                </c:pt>
                <c:pt idx="4">
                  <c:v>2.8312499999999998</c:v>
                </c:pt>
                <c:pt idx="5">
                  <c:v>2.4406249999999994</c:v>
                </c:pt>
                <c:pt idx="6">
                  <c:v>1.7181249999999983</c:v>
                </c:pt>
                <c:pt idx="7">
                  <c:v>0.56249999999999711</c:v>
                </c:pt>
              </c:numCache>
            </c:numRef>
          </c:yVal>
          <c:smooth val="1"/>
        </c:ser>
        <c:axId val="156656384"/>
        <c:axId val="156658304"/>
      </c:scatterChart>
      <c:valAx>
        <c:axId val="15665638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VE"/>
                  <a:t>RPM</a:t>
                </a:r>
                <a:endParaRPr/>
              </a:p>
            </c:rich>
          </c:tx>
          <c:layout/>
        </c:title>
        <c:numFmt formatCode="General" sourceLinked="1"/>
        <c:tickLblPos val="nextTo"/>
        <c:crossAx val="156658304"/>
        <c:crosses val="autoZero"/>
        <c:crossBetween val="midCat"/>
      </c:valAx>
      <c:valAx>
        <c:axId val="156658304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s-VE"/>
                  <a:t>Presión</a:t>
                </a:r>
                <a:endParaRPr/>
              </a:p>
            </c:rich>
          </c:tx>
          <c:layout/>
        </c:title>
        <c:numFmt formatCode="General" sourceLinked="1"/>
        <c:tickLblPos val="nextTo"/>
        <c:crossAx val="156656384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VE"/>
  <c:chart>
    <c:title>
      <c:tx>
        <c:rich>
          <a:bodyPr/>
          <a:lstStyle/>
          <a:p>
            <a:pPr>
              <a:defRPr/>
            </a:pPr>
            <a:r>
              <a:rPr lang="es-VE"/>
              <a:t>Curva del sistema cambio de punto de operación</a:t>
            </a:r>
            <a:endParaRPr/>
          </a:p>
        </c:rich>
      </c:tx>
      <c:layout/>
    </c:title>
    <c:plotArea>
      <c:layout/>
      <c:scatterChart>
        <c:scatterStyle val="smoothMarker"/>
        <c:ser>
          <c:idx val="0"/>
          <c:order val="0"/>
          <c:xVal>
            <c:numRef>
              <c:f>Hoja1!$C$4:$C$11</c:f>
              <c:numCache>
                <c:formatCode>General</c:formatCode>
                <c:ptCount val="8"/>
                <c:pt idx="0">
                  <c:v>1</c:v>
                </c:pt>
                <c:pt idx="1">
                  <c:v>1.2250000000000001</c:v>
                </c:pt>
                <c:pt idx="2">
                  <c:v>1.4500000000000002</c:v>
                </c:pt>
                <c:pt idx="3">
                  <c:v>1.6750000000000003</c:v>
                </c:pt>
                <c:pt idx="4">
                  <c:v>1.9000000000000004</c:v>
                </c:pt>
                <c:pt idx="5">
                  <c:v>2.1250000000000004</c:v>
                </c:pt>
                <c:pt idx="6">
                  <c:v>2.3500000000000005</c:v>
                </c:pt>
                <c:pt idx="7">
                  <c:v>2.5750000000000006</c:v>
                </c:pt>
              </c:numCache>
            </c:numRef>
          </c:xVal>
          <c:yVal>
            <c:numRef>
              <c:f>Hoja1!$E$4:$E$11</c:f>
              <c:numCache>
                <c:formatCode>General</c:formatCode>
                <c:ptCount val="8"/>
                <c:pt idx="0">
                  <c:v>3.1</c:v>
                </c:pt>
                <c:pt idx="1">
                  <c:v>3.024375</c:v>
                </c:pt>
                <c:pt idx="2">
                  <c:v>3.0218750000000001</c:v>
                </c:pt>
                <c:pt idx="3">
                  <c:v>2.99125</c:v>
                </c:pt>
                <c:pt idx="4">
                  <c:v>2.8312499999999998</c:v>
                </c:pt>
                <c:pt idx="5">
                  <c:v>2.4406249999999994</c:v>
                </c:pt>
                <c:pt idx="6">
                  <c:v>1.7181249999999983</c:v>
                </c:pt>
                <c:pt idx="7">
                  <c:v>0.56249999999999711</c:v>
                </c:pt>
              </c:numCache>
            </c:numRef>
          </c:yVal>
          <c:smooth val="1"/>
        </c:ser>
        <c:ser>
          <c:idx val="1"/>
          <c:order val="1"/>
          <c:xVal>
            <c:numRef>
              <c:f>Hoja1!$C$4:$C$11</c:f>
              <c:numCache>
                <c:formatCode>General</c:formatCode>
                <c:ptCount val="8"/>
                <c:pt idx="0">
                  <c:v>1</c:v>
                </c:pt>
                <c:pt idx="1">
                  <c:v>1.2250000000000001</c:v>
                </c:pt>
                <c:pt idx="2">
                  <c:v>1.4500000000000002</c:v>
                </c:pt>
                <c:pt idx="3">
                  <c:v>1.6750000000000003</c:v>
                </c:pt>
                <c:pt idx="4">
                  <c:v>1.9000000000000004</c:v>
                </c:pt>
                <c:pt idx="5">
                  <c:v>2.1250000000000004</c:v>
                </c:pt>
                <c:pt idx="6">
                  <c:v>2.3500000000000005</c:v>
                </c:pt>
                <c:pt idx="7">
                  <c:v>2.5750000000000006</c:v>
                </c:pt>
              </c:numCache>
            </c:numRef>
          </c:xVal>
          <c:yVal>
            <c:numRef>
              <c:f>Hoja1!$F$4:$F$11</c:f>
              <c:numCache>
                <c:formatCode>General</c:formatCode>
                <c:ptCount val="8"/>
                <c:pt idx="0">
                  <c:v>4.5</c:v>
                </c:pt>
                <c:pt idx="1">
                  <c:v>4.4243750000000004</c:v>
                </c:pt>
                <c:pt idx="2">
                  <c:v>4.421875</c:v>
                </c:pt>
                <c:pt idx="3">
                  <c:v>4.3912500000000003</c:v>
                </c:pt>
                <c:pt idx="4">
                  <c:v>4.2312500000000002</c:v>
                </c:pt>
                <c:pt idx="5">
                  <c:v>3.8406249999999997</c:v>
                </c:pt>
                <c:pt idx="6">
                  <c:v>3.1181249999999987</c:v>
                </c:pt>
                <c:pt idx="7">
                  <c:v>1.9624999999999975</c:v>
                </c:pt>
              </c:numCache>
            </c:numRef>
          </c:yVal>
          <c:smooth val="1"/>
        </c:ser>
        <c:axId val="156831104"/>
        <c:axId val="156849664"/>
      </c:scatterChart>
      <c:valAx>
        <c:axId val="15683110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VE"/>
                  <a:t>RPM</a:t>
                </a:r>
                <a:endParaRPr/>
              </a:p>
            </c:rich>
          </c:tx>
          <c:layout/>
        </c:title>
        <c:numFmt formatCode="General" sourceLinked="1"/>
        <c:tickLblPos val="nextTo"/>
        <c:crossAx val="156849664"/>
        <c:crosses val="autoZero"/>
        <c:crossBetween val="midCat"/>
      </c:valAx>
      <c:valAx>
        <c:axId val="156849664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s-VE"/>
                  <a:t>Presión</a:t>
                </a:r>
                <a:endParaRPr/>
              </a:p>
            </c:rich>
          </c:tx>
          <c:layout/>
        </c:title>
        <c:numFmt formatCode="General" sourceLinked="1"/>
        <c:tickLblPos val="nextTo"/>
        <c:crossAx val="156831104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VE"/>
  <c:chart>
    <c:title>
      <c:tx>
        <c:rich>
          <a:bodyPr/>
          <a:lstStyle/>
          <a:p>
            <a:pPr>
              <a:defRPr/>
            </a:pPr>
            <a:r>
              <a:rPr lang="es-VE"/>
              <a:t>Curva del Compresor</a:t>
            </a:r>
            <a:endParaRPr/>
          </a:p>
        </c:rich>
      </c:tx>
      <c:layout/>
    </c:title>
    <c:plotArea>
      <c:layout/>
      <c:scatterChart>
        <c:scatterStyle val="smoothMarker"/>
        <c:ser>
          <c:idx val="0"/>
          <c:order val="0"/>
          <c:xVal>
            <c:numRef>
              <c:f>Hoja1!$C$4:$C$11</c:f>
              <c:numCache>
                <c:formatCode>General</c:formatCode>
                <c:ptCount val="8"/>
                <c:pt idx="0">
                  <c:v>1</c:v>
                </c:pt>
                <c:pt idx="1">
                  <c:v>1.2250000000000001</c:v>
                </c:pt>
                <c:pt idx="2">
                  <c:v>1.4500000000000002</c:v>
                </c:pt>
                <c:pt idx="3">
                  <c:v>1.6750000000000003</c:v>
                </c:pt>
                <c:pt idx="4">
                  <c:v>1.9000000000000004</c:v>
                </c:pt>
                <c:pt idx="5">
                  <c:v>2.1250000000000004</c:v>
                </c:pt>
                <c:pt idx="6">
                  <c:v>2.3500000000000005</c:v>
                </c:pt>
                <c:pt idx="7">
                  <c:v>2.5750000000000006</c:v>
                </c:pt>
              </c:numCache>
            </c:numRef>
          </c:xVal>
          <c:yVal>
            <c:numRef>
              <c:f>Hoja1!$D$4:$D$11</c:f>
              <c:numCache>
                <c:formatCode>General</c:formatCode>
                <c:ptCount val="8"/>
                <c:pt idx="0">
                  <c:v>2</c:v>
                </c:pt>
                <c:pt idx="1">
                  <c:v>1.9243749999999999</c:v>
                </c:pt>
                <c:pt idx="2">
                  <c:v>1.921875</c:v>
                </c:pt>
                <c:pt idx="3">
                  <c:v>1.8912499999999999</c:v>
                </c:pt>
                <c:pt idx="4">
                  <c:v>1.7312499999999995</c:v>
                </c:pt>
                <c:pt idx="5">
                  <c:v>1.3406249999999988</c:v>
                </c:pt>
                <c:pt idx="6">
                  <c:v>0.61812499999999793</c:v>
                </c:pt>
                <c:pt idx="7">
                  <c:v>-0.53750000000000331</c:v>
                </c:pt>
              </c:numCache>
            </c:numRef>
          </c:yVal>
          <c:smooth val="1"/>
        </c:ser>
        <c:ser>
          <c:idx val="1"/>
          <c:order val="1"/>
          <c:xVal>
            <c:numRef>
              <c:f>Hoja1!$C$4:$C$11</c:f>
              <c:numCache>
                <c:formatCode>General</c:formatCode>
                <c:ptCount val="8"/>
                <c:pt idx="0">
                  <c:v>1</c:v>
                </c:pt>
                <c:pt idx="1">
                  <c:v>1.2250000000000001</c:v>
                </c:pt>
                <c:pt idx="2">
                  <c:v>1.4500000000000002</c:v>
                </c:pt>
                <c:pt idx="3">
                  <c:v>1.6750000000000003</c:v>
                </c:pt>
                <c:pt idx="4">
                  <c:v>1.9000000000000004</c:v>
                </c:pt>
                <c:pt idx="5">
                  <c:v>2.1250000000000004</c:v>
                </c:pt>
                <c:pt idx="6">
                  <c:v>2.3500000000000005</c:v>
                </c:pt>
                <c:pt idx="7">
                  <c:v>2.5750000000000006</c:v>
                </c:pt>
              </c:numCache>
            </c:numRef>
          </c:xVal>
          <c:yVal>
            <c:numRef>
              <c:f>Hoja1!$Y$4:$Y$11</c:f>
              <c:numCache>
                <c:formatCode>General</c:formatCode>
                <c:ptCount val="8"/>
                <c:pt idx="0">
                  <c:v>0.2</c:v>
                </c:pt>
                <c:pt idx="1">
                  <c:v>0.20500000000000013</c:v>
                </c:pt>
                <c:pt idx="2">
                  <c:v>0.43500000000000033</c:v>
                </c:pt>
                <c:pt idx="3">
                  <c:v>0.89000000000000057</c:v>
                </c:pt>
                <c:pt idx="4">
                  <c:v>1.570000000000001</c:v>
                </c:pt>
                <c:pt idx="5">
                  <c:v>2.4750000000000014</c:v>
                </c:pt>
                <c:pt idx="6">
                  <c:v>3.6050000000000022</c:v>
                </c:pt>
                <c:pt idx="7">
                  <c:v>4.9600000000000026</c:v>
                </c:pt>
              </c:numCache>
            </c:numRef>
          </c:yVal>
          <c:smooth val="1"/>
        </c:ser>
        <c:axId val="156870528"/>
        <c:axId val="156880896"/>
      </c:scatterChart>
      <c:valAx>
        <c:axId val="15687052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VE"/>
                  <a:t>Flujo Másico</a:t>
                </a:r>
                <a:endParaRPr/>
              </a:p>
            </c:rich>
          </c:tx>
          <c:layout/>
        </c:title>
        <c:numFmt formatCode="General" sourceLinked="1"/>
        <c:tickLblPos val="nextTo"/>
        <c:crossAx val="156880896"/>
        <c:crosses val="autoZero"/>
        <c:crossBetween val="midCat"/>
      </c:valAx>
      <c:valAx>
        <c:axId val="156880896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s-VE"/>
                  <a:t>Relación de Compresión</a:t>
                </a:r>
                <a:endParaRPr/>
              </a:p>
            </c:rich>
          </c:tx>
          <c:layout/>
        </c:title>
        <c:numFmt formatCode="General" sourceLinked="1"/>
        <c:tickLblPos val="nextTo"/>
        <c:crossAx val="156870528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VE"/>
  <c:chart>
    <c:title>
      <c:tx>
        <c:rich>
          <a:bodyPr/>
          <a:lstStyle/>
          <a:p>
            <a:pPr>
              <a:defRPr/>
            </a:pPr>
            <a:r>
              <a:rPr lang="es-VE"/>
              <a:t>Curva del Compresor</a:t>
            </a:r>
            <a:endParaRPr/>
          </a:p>
        </c:rich>
      </c:tx>
      <c:layout/>
    </c:title>
    <c:plotArea>
      <c:layout/>
      <c:scatterChart>
        <c:scatterStyle val="smoothMarker"/>
        <c:ser>
          <c:idx val="0"/>
          <c:order val="0"/>
          <c:xVal>
            <c:numRef>
              <c:f>Hoja1!$C$4:$C$11</c:f>
              <c:numCache>
                <c:formatCode>General</c:formatCode>
                <c:ptCount val="8"/>
                <c:pt idx="0">
                  <c:v>1</c:v>
                </c:pt>
                <c:pt idx="1">
                  <c:v>1.2250000000000001</c:v>
                </c:pt>
                <c:pt idx="2">
                  <c:v>1.4500000000000002</c:v>
                </c:pt>
                <c:pt idx="3">
                  <c:v>1.6750000000000003</c:v>
                </c:pt>
                <c:pt idx="4">
                  <c:v>1.9000000000000004</c:v>
                </c:pt>
                <c:pt idx="5">
                  <c:v>2.1250000000000004</c:v>
                </c:pt>
                <c:pt idx="6">
                  <c:v>2.3500000000000005</c:v>
                </c:pt>
                <c:pt idx="7">
                  <c:v>2.5750000000000006</c:v>
                </c:pt>
              </c:numCache>
            </c:numRef>
          </c:xVal>
          <c:yVal>
            <c:numRef>
              <c:f>Hoja1!$D$4:$D$11</c:f>
              <c:numCache>
                <c:formatCode>General</c:formatCode>
                <c:ptCount val="8"/>
                <c:pt idx="0">
                  <c:v>2</c:v>
                </c:pt>
                <c:pt idx="1">
                  <c:v>1.9243749999999999</c:v>
                </c:pt>
                <c:pt idx="2">
                  <c:v>1.921875</c:v>
                </c:pt>
                <c:pt idx="3">
                  <c:v>1.8912499999999999</c:v>
                </c:pt>
                <c:pt idx="4">
                  <c:v>1.7312499999999995</c:v>
                </c:pt>
                <c:pt idx="5">
                  <c:v>1.3406249999999988</c:v>
                </c:pt>
                <c:pt idx="6">
                  <c:v>0.61812499999999793</c:v>
                </c:pt>
                <c:pt idx="7">
                  <c:v>-0.53750000000000331</c:v>
                </c:pt>
              </c:numCache>
            </c:numRef>
          </c:yVal>
          <c:smooth val="1"/>
        </c:ser>
        <c:ser>
          <c:idx val="1"/>
          <c:order val="1"/>
          <c:xVal>
            <c:numRef>
              <c:f>Hoja1!$C$4:$C$11</c:f>
              <c:numCache>
                <c:formatCode>General</c:formatCode>
                <c:ptCount val="8"/>
                <c:pt idx="0">
                  <c:v>1</c:v>
                </c:pt>
                <c:pt idx="1">
                  <c:v>1.2250000000000001</c:v>
                </c:pt>
                <c:pt idx="2">
                  <c:v>1.4500000000000002</c:v>
                </c:pt>
                <c:pt idx="3">
                  <c:v>1.6750000000000003</c:v>
                </c:pt>
                <c:pt idx="4">
                  <c:v>1.9000000000000004</c:v>
                </c:pt>
                <c:pt idx="5">
                  <c:v>2.1250000000000004</c:v>
                </c:pt>
                <c:pt idx="6">
                  <c:v>2.3500000000000005</c:v>
                </c:pt>
                <c:pt idx="7">
                  <c:v>2.5750000000000006</c:v>
                </c:pt>
              </c:numCache>
            </c:numRef>
          </c:xVal>
          <c:yVal>
            <c:numRef>
              <c:f>Hoja1!$E$4:$E$11</c:f>
              <c:numCache>
                <c:formatCode>General</c:formatCode>
                <c:ptCount val="8"/>
                <c:pt idx="0">
                  <c:v>3.1</c:v>
                </c:pt>
                <c:pt idx="1">
                  <c:v>3.024375</c:v>
                </c:pt>
                <c:pt idx="2">
                  <c:v>3.0218750000000001</c:v>
                </c:pt>
                <c:pt idx="3">
                  <c:v>2.99125</c:v>
                </c:pt>
                <c:pt idx="4">
                  <c:v>2.8312499999999998</c:v>
                </c:pt>
                <c:pt idx="5">
                  <c:v>2.4406249999999994</c:v>
                </c:pt>
                <c:pt idx="6">
                  <c:v>1.7181249999999983</c:v>
                </c:pt>
                <c:pt idx="7">
                  <c:v>0.56249999999999711</c:v>
                </c:pt>
              </c:numCache>
            </c:numRef>
          </c:yVal>
          <c:smooth val="1"/>
        </c:ser>
        <c:ser>
          <c:idx val="2"/>
          <c:order val="2"/>
          <c:xVal>
            <c:numRef>
              <c:f>Hoja1!$C$4:$C$11</c:f>
              <c:numCache>
                <c:formatCode>General</c:formatCode>
                <c:ptCount val="8"/>
                <c:pt idx="0">
                  <c:v>1</c:v>
                </c:pt>
                <c:pt idx="1">
                  <c:v>1.2250000000000001</c:v>
                </c:pt>
                <c:pt idx="2">
                  <c:v>1.4500000000000002</c:v>
                </c:pt>
                <c:pt idx="3">
                  <c:v>1.6750000000000003</c:v>
                </c:pt>
                <c:pt idx="4">
                  <c:v>1.9000000000000004</c:v>
                </c:pt>
                <c:pt idx="5">
                  <c:v>2.1250000000000004</c:v>
                </c:pt>
                <c:pt idx="6">
                  <c:v>2.3500000000000005</c:v>
                </c:pt>
                <c:pt idx="7">
                  <c:v>2.5750000000000006</c:v>
                </c:pt>
              </c:numCache>
            </c:numRef>
          </c:xVal>
          <c:yVal>
            <c:numRef>
              <c:f>Hoja1!$Y$4:$Y$11</c:f>
              <c:numCache>
                <c:formatCode>General</c:formatCode>
                <c:ptCount val="8"/>
                <c:pt idx="0">
                  <c:v>0.2</c:v>
                </c:pt>
                <c:pt idx="1">
                  <c:v>0.20500000000000013</c:v>
                </c:pt>
                <c:pt idx="2">
                  <c:v>0.43500000000000033</c:v>
                </c:pt>
                <c:pt idx="3">
                  <c:v>0.89000000000000057</c:v>
                </c:pt>
                <c:pt idx="4">
                  <c:v>1.570000000000001</c:v>
                </c:pt>
                <c:pt idx="5">
                  <c:v>2.4750000000000014</c:v>
                </c:pt>
                <c:pt idx="6">
                  <c:v>3.6050000000000022</c:v>
                </c:pt>
                <c:pt idx="7">
                  <c:v>4.9600000000000026</c:v>
                </c:pt>
              </c:numCache>
            </c:numRef>
          </c:yVal>
          <c:smooth val="1"/>
        </c:ser>
        <c:axId val="156791936"/>
        <c:axId val="156793856"/>
      </c:scatterChart>
      <c:valAx>
        <c:axId val="15679193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VE"/>
                  <a:t>Flujo Másico</a:t>
                </a:r>
                <a:endParaRPr/>
              </a:p>
            </c:rich>
          </c:tx>
          <c:layout/>
        </c:title>
        <c:numFmt formatCode="General" sourceLinked="1"/>
        <c:tickLblPos val="nextTo"/>
        <c:crossAx val="156793856"/>
        <c:crosses val="autoZero"/>
        <c:crossBetween val="midCat"/>
      </c:valAx>
      <c:valAx>
        <c:axId val="156793856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s-VE"/>
                  <a:t>Relación de Compresión</a:t>
                </a:r>
                <a:endParaRPr/>
              </a:p>
            </c:rich>
          </c:tx>
          <c:layout/>
        </c:title>
        <c:numFmt formatCode="General" sourceLinked="1"/>
        <c:tickLblPos val="nextTo"/>
        <c:crossAx val="156791936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VE"/>
  <c:chart>
    <c:title>
      <c:tx>
        <c:rich>
          <a:bodyPr/>
          <a:lstStyle/>
          <a:p>
            <a:pPr>
              <a:defRPr/>
            </a:pPr>
            <a:r>
              <a:rPr lang="es-VE"/>
              <a:t>Curva del Compresor</a:t>
            </a:r>
            <a:endParaRPr/>
          </a:p>
        </c:rich>
      </c:tx>
      <c:layout/>
    </c:title>
    <c:plotArea>
      <c:layout/>
      <c:scatterChart>
        <c:scatterStyle val="smoothMarker"/>
        <c:ser>
          <c:idx val="0"/>
          <c:order val="0"/>
          <c:xVal>
            <c:numRef>
              <c:f>Hoja1!$C$4:$C$11</c:f>
              <c:numCache>
                <c:formatCode>General</c:formatCode>
                <c:ptCount val="8"/>
                <c:pt idx="0">
                  <c:v>1</c:v>
                </c:pt>
                <c:pt idx="1">
                  <c:v>1.2250000000000001</c:v>
                </c:pt>
                <c:pt idx="2">
                  <c:v>1.4500000000000002</c:v>
                </c:pt>
                <c:pt idx="3">
                  <c:v>1.6750000000000003</c:v>
                </c:pt>
                <c:pt idx="4">
                  <c:v>1.9000000000000004</c:v>
                </c:pt>
                <c:pt idx="5">
                  <c:v>2.1250000000000004</c:v>
                </c:pt>
                <c:pt idx="6">
                  <c:v>2.3500000000000005</c:v>
                </c:pt>
                <c:pt idx="7">
                  <c:v>2.5750000000000006</c:v>
                </c:pt>
              </c:numCache>
            </c:numRef>
          </c:xVal>
          <c:yVal>
            <c:numRef>
              <c:f>Hoja1!$D$4:$D$11</c:f>
              <c:numCache>
                <c:formatCode>General</c:formatCode>
                <c:ptCount val="8"/>
                <c:pt idx="0">
                  <c:v>2</c:v>
                </c:pt>
                <c:pt idx="1">
                  <c:v>1.9243749999999999</c:v>
                </c:pt>
                <c:pt idx="2">
                  <c:v>1.921875</c:v>
                </c:pt>
                <c:pt idx="3">
                  <c:v>1.8912499999999999</c:v>
                </c:pt>
                <c:pt idx="4">
                  <c:v>1.7312499999999995</c:v>
                </c:pt>
                <c:pt idx="5">
                  <c:v>1.3406249999999988</c:v>
                </c:pt>
                <c:pt idx="6">
                  <c:v>0.61812499999999793</c:v>
                </c:pt>
                <c:pt idx="7">
                  <c:v>-0.53750000000000331</c:v>
                </c:pt>
              </c:numCache>
            </c:numRef>
          </c:yVal>
          <c:smooth val="1"/>
        </c:ser>
        <c:ser>
          <c:idx val="1"/>
          <c:order val="1"/>
          <c:xVal>
            <c:numRef>
              <c:f>Hoja1!$C$4:$C$11</c:f>
              <c:numCache>
                <c:formatCode>General</c:formatCode>
                <c:ptCount val="8"/>
                <c:pt idx="0">
                  <c:v>1</c:v>
                </c:pt>
                <c:pt idx="1">
                  <c:v>1.2250000000000001</c:v>
                </c:pt>
                <c:pt idx="2">
                  <c:v>1.4500000000000002</c:v>
                </c:pt>
                <c:pt idx="3">
                  <c:v>1.6750000000000003</c:v>
                </c:pt>
                <c:pt idx="4">
                  <c:v>1.9000000000000004</c:v>
                </c:pt>
                <c:pt idx="5">
                  <c:v>2.1250000000000004</c:v>
                </c:pt>
                <c:pt idx="6">
                  <c:v>2.3500000000000005</c:v>
                </c:pt>
                <c:pt idx="7">
                  <c:v>2.5750000000000006</c:v>
                </c:pt>
              </c:numCache>
            </c:numRef>
          </c:xVal>
          <c:yVal>
            <c:numRef>
              <c:f>Hoja1!$G$4:$G$11</c:f>
              <c:numCache>
                <c:formatCode>General</c:formatCode>
                <c:ptCount val="8"/>
                <c:pt idx="0">
                  <c:v>6</c:v>
                </c:pt>
                <c:pt idx="1">
                  <c:v>5.9243750000000004</c:v>
                </c:pt>
                <c:pt idx="2">
                  <c:v>5.921875</c:v>
                </c:pt>
                <c:pt idx="3">
                  <c:v>5.8912500000000003</c:v>
                </c:pt>
                <c:pt idx="4">
                  <c:v>5.7312500000000002</c:v>
                </c:pt>
                <c:pt idx="5">
                  <c:v>5.3406249999999993</c:v>
                </c:pt>
                <c:pt idx="6">
                  <c:v>4.6181249999999983</c:v>
                </c:pt>
                <c:pt idx="7">
                  <c:v>3.4624999999999968</c:v>
                </c:pt>
              </c:numCache>
            </c:numRef>
          </c:yVal>
          <c:smooth val="1"/>
        </c:ser>
        <c:ser>
          <c:idx val="2"/>
          <c:order val="2"/>
          <c:xVal>
            <c:numRef>
              <c:f>Hoja1!$C$4:$C$11</c:f>
              <c:numCache>
                <c:formatCode>General</c:formatCode>
                <c:ptCount val="8"/>
                <c:pt idx="0">
                  <c:v>1</c:v>
                </c:pt>
                <c:pt idx="1">
                  <c:v>1.2250000000000001</c:v>
                </c:pt>
                <c:pt idx="2">
                  <c:v>1.4500000000000002</c:v>
                </c:pt>
                <c:pt idx="3">
                  <c:v>1.6750000000000003</c:v>
                </c:pt>
                <c:pt idx="4">
                  <c:v>1.9000000000000004</c:v>
                </c:pt>
                <c:pt idx="5">
                  <c:v>2.1250000000000004</c:v>
                </c:pt>
                <c:pt idx="6">
                  <c:v>2.3500000000000005</c:v>
                </c:pt>
                <c:pt idx="7">
                  <c:v>2.5750000000000006</c:v>
                </c:pt>
              </c:numCache>
            </c:numRef>
          </c:xVal>
          <c:yVal>
            <c:numRef>
              <c:f>Hoja1!$Y$4:$Y$11</c:f>
              <c:numCache>
                <c:formatCode>General</c:formatCode>
                <c:ptCount val="8"/>
                <c:pt idx="0">
                  <c:v>0.2</c:v>
                </c:pt>
                <c:pt idx="1">
                  <c:v>0.20500000000000013</c:v>
                </c:pt>
                <c:pt idx="2">
                  <c:v>0.43500000000000033</c:v>
                </c:pt>
                <c:pt idx="3">
                  <c:v>0.89000000000000057</c:v>
                </c:pt>
                <c:pt idx="4">
                  <c:v>1.570000000000001</c:v>
                </c:pt>
                <c:pt idx="5">
                  <c:v>2.4750000000000014</c:v>
                </c:pt>
                <c:pt idx="6">
                  <c:v>3.6050000000000022</c:v>
                </c:pt>
                <c:pt idx="7">
                  <c:v>4.9600000000000026</c:v>
                </c:pt>
              </c:numCache>
            </c:numRef>
          </c:yVal>
          <c:smooth val="1"/>
        </c:ser>
        <c:axId val="156968064"/>
        <c:axId val="156969984"/>
      </c:scatterChart>
      <c:valAx>
        <c:axId val="15696806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VE"/>
                  <a:t>Flujo Másico</a:t>
                </a:r>
                <a:endParaRPr/>
              </a:p>
            </c:rich>
          </c:tx>
          <c:layout/>
        </c:title>
        <c:numFmt formatCode="General" sourceLinked="1"/>
        <c:tickLblPos val="nextTo"/>
        <c:crossAx val="156969984"/>
        <c:crosses val="autoZero"/>
        <c:crossBetween val="midCat"/>
      </c:valAx>
      <c:valAx>
        <c:axId val="156969984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s-VE"/>
                  <a:t>Relación de Compresión</a:t>
                </a:r>
                <a:endParaRPr/>
              </a:p>
            </c:rich>
          </c:tx>
          <c:layout/>
        </c:title>
        <c:numFmt formatCode="General" sourceLinked="1"/>
        <c:tickLblPos val="nextTo"/>
        <c:crossAx val="156968064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VE"/>
  <c:chart>
    <c:plotArea>
      <c:layout/>
      <c:scatterChart>
        <c:scatterStyle val="smoothMarker"/>
        <c:ser>
          <c:idx val="0"/>
          <c:order val="0"/>
          <c:xVal>
            <c:numRef>
              <c:f>Hoja4!$C$4:$C$8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Hoja4!$E$4:$E$8</c:f>
              <c:numCache>
                <c:formatCode>General</c:formatCode>
                <c:ptCount val="5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450</c:v>
                </c:pt>
              </c:numCache>
            </c:numRef>
          </c:yVal>
          <c:smooth val="1"/>
        </c:ser>
        <c:ser>
          <c:idx val="1"/>
          <c:order val="1"/>
          <c:xVal>
            <c:numRef>
              <c:f>Hoja4!$D$4:$D$8</c:f>
              <c:numCache>
                <c:formatCode>General</c:formatCode>
                <c:ptCount val="5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7</c:v>
                </c:pt>
              </c:numCache>
            </c:numRef>
          </c:xVal>
          <c:yVal>
            <c:numRef>
              <c:f>Hoja4!$F$4:$F$8</c:f>
              <c:numCache>
                <c:formatCode>General</c:formatCode>
                <c:ptCount val="5"/>
                <c:pt idx="0">
                  <c:v>200</c:v>
                </c:pt>
                <c:pt idx="1">
                  <c:v>250</c:v>
                </c:pt>
                <c:pt idx="2">
                  <c:v>350</c:v>
                </c:pt>
                <c:pt idx="3">
                  <c:v>480</c:v>
                </c:pt>
                <c:pt idx="4">
                  <c:v>550</c:v>
                </c:pt>
              </c:numCache>
            </c:numRef>
          </c:yVal>
          <c:smooth val="1"/>
        </c:ser>
        <c:axId val="156931200"/>
        <c:axId val="156932736"/>
      </c:scatterChart>
      <c:valAx>
        <c:axId val="156931200"/>
        <c:scaling>
          <c:orientation val="minMax"/>
        </c:scaling>
        <c:axPos val="b"/>
        <c:numFmt formatCode="General" sourceLinked="1"/>
        <c:tickLblPos val="nextTo"/>
        <c:crossAx val="156932736"/>
        <c:crosses val="autoZero"/>
        <c:crossBetween val="midCat"/>
      </c:valAx>
      <c:valAx>
        <c:axId val="156932736"/>
        <c:scaling>
          <c:orientation val="minMax"/>
        </c:scaling>
        <c:axPos val="l"/>
        <c:majorGridlines/>
        <c:numFmt formatCode="General" sourceLinked="1"/>
        <c:tickLblPos val="nextTo"/>
        <c:crossAx val="156931200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882650</xdr:colOff>
      <xdr:row>30</xdr:row>
      <xdr:rowOff>184150</xdr:rowOff>
    </xdr:from>
    <xdr:to>
      <xdr:col>10</xdr:col>
      <xdr:colOff>482600</xdr:colOff>
      <xdr:row>44</xdr:row>
      <xdr:rowOff>184150</xdr:rowOff>
    </xdr:to>
    <xdr:graphicFrame macro="">
      <xdr:nvGraphicFramePr>
        <xdr:cNvPr id="125" name="124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38100</xdr:colOff>
      <xdr:row>30</xdr:row>
      <xdr:rowOff>184150</xdr:rowOff>
    </xdr:from>
    <xdr:to>
      <xdr:col>15</xdr:col>
      <xdr:colOff>104775</xdr:colOff>
      <xdr:row>44</xdr:row>
      <xdr:rowOff>184150</xdr:rowOff>
    </xdr:to>
    <xdr:graphicFrame macro="">
      <xdr:nvGraphicFramePr>
        <xdr:cNvPr id="126" name="125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231775</xdr:colOff>
      <xdr:row>1</xdr:row>
      <xdr:rowOff>79375</xdr:rowOff>
    </xdr:from>
    <xdr:to>
      <xdr:col>21</xdr:col>
      <xdr:colOff>495300</xdr:colOff>
      <xdr:row>15</xdr:row>
      <xdr:rowOff>165100</xdr:rowOff>
    </xdr:to>
    <xdr:graphicFrame macro="">
      <xdr:nvGraphicFramePr>
        <xdr:cNvPr id="191" name="190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38100</xdr:colOff>
      <xdr:row>17</xdr:row>
      <xdr:rowOff>101600</xdr:rowOff>
    </xdr:from>
    <xdr:to>
      <xdr:col>15</xdr:col>
      <xdr:colOff>104775</xdr:colOff>
      <xdr:row>29</xdr:row>
      <xdr:rowOff>73025</xdr:rowOff>
    </xdr:to>
    <xdr:graphicFrame macro="">
      <xdr:nvGraphicFramePr>
        <xdr:cNvPr id="193" name="192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231775</xdr:colOff>
      <xdr:row>1</xdr:row>
      <xdr:rowOff>79375</xdr:rowOff>
    </xdr:from>
    <xdr:to>
      <xdr:col>21</xdr:col>
      <xdr:colOff>495300</xdr:colOff>
      <xdr:row>15</xdr:row>
      <xdr:rowOff>165100</xdr:rowOff>
    </xdr:to>
    <xdr:graphicFrame macro="">
      <xdr:nvGraphicFramePr>
        <xdr:cNvPr id="195" name="194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231775</xdr:colOff>
      <xdr:row>1</xdr:row>
      <xdr:rowOff>79375</xdr:rowOff>
    </xdr:from>
    <xdr:to>
      <xdr:col>21</xdr:col>
      <xdr:colOff>495300</xdr:colOff>
      <xdr:row>15</xdr:row>
      <xdr:rowOff>165100</xdr:rowOff>
    </xdr:to>
    <xdr:graphicFrame macro="">
      <xdr:nvGraphicFramePr>
        <xdr:cNvPr id="196" name="195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38100</xdr:colOff>
      <xdr:row>17</xdr:row>
      <xdr:rowOff>101600</xdr:rowOff>
    </xdr:from>
    <xdr:to>
      <xdr:col>15</xdr:col>
      <xdr:colOff>104775</xdr:colOff>
      <xdr:row>29</xdr:row>
      <xdr:rowOff>73025</xdr:rowOff>
    </xdr:to>
    <xdr:graphicFrame macro="">
      <xdr:nvGraphicFramePr>
        <xdr:cNvPr id="197" name="196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882650</xdr:colOff>
      <xdr:row>17</xdr:row>
      <xdr:rowOff>101600</xdr:rowOff>
    </xdr:from>
    <xdr:to>
      <xdr:col>10</xdr:col>
      <xdr:colOff>482600</xdr:colOff>
      <xdr:row>29</xdr:row>
      <xdr:rowOff>73025</xdr:rowOff>
    </xdr:to>
    <xdr:graphicFrame macro="">
      <xdr:nvGraphicFramePr>
        <xdr:cNvPr id="201" name="200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14</xdr:col>
      <xdr:colOff>231775</xdr:colOff>
      <xdr:row>1</xdr:row>
      <xdr:rowOff>79375</xdr:rowOff>
    </xdr:from>
    <xdr:to>
      <xdr:col>21</xdr:col>
      <xdr:colOff>495300</xdr:colOff>
      <xdr:row>15</xdr:row>
      <xdr:rowOff>165100</xdr:rowOff>
    </xdr:to>
    <xdr:graphicFrame macro="">
      <xdr:nvGraphicFramePr>
        <xdr:cNvPr id="202" name="20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231775</xdr:colOff>
      <xdr:row>1</xdr:row>
      <xdr:rowOff>79375</xdr:rowOff>
    </xdr:from>
    <xdr:to>
      <xdr:col>21</xdr:col>
      <xdr:colOff>495300</xdr:colOff>
      <xdr:row>15</xdr:row>
      <xdr:rowOff>165100</xdr:rowOff>
    </xdr:to>
    <xdr:graphicFrame macro="">
      <xdr:nvGraphicFramePr>
        <xdr:cNvPr id="203" name="202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14</xdr:col>
      <xdr:colOff>231775</xdr:colOff>
      <xdr:row>1</xdr:row>
      <xdr:rowOff>79375</xdr:rowOff>
    </xdr:from>
    <xdr:to>
      <xdr:col>21</xdr:col>
      <xdr:colOff>495300</xdr:colOff>
      <xdr:row>15</xdr:row>
      <xdr:rowOff>165100</xdr:rowOff>
    </xdr:to>
    <xdr:graphicFrame macro="">
      <xdr:nvGraphicFramePr>
        <xdr:cNvPr id="204" name="203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14</xdr:col>
      <xdr:colOff>231775</xdr:colOff>
      <xdr:row>1</xdr:row>
      <xdr:rowOff>79375</xdr:rowOff>
    </xdr:from>
    <xdr:to>
      <xdr:col>21</xdr:col>
      <xdr:colOff>495300</xdr:colOff>
      <xdr:row>15</xdr:row>
      <xdr:rowOff>165100</xdr:rowOff>
    </xdr:to>
    <xdr:graphicFrame macro="">
      <xdr:nvGraphicFramePr>
        <xdr:cNvPr id="205" name="204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231775</xdr:colOff>
      <xdr:row>1</xdr:row>
      <xdr:rowOff>79375</xdr:rowOff>
    </xdr:from>
    <xdr:to>
      <xdr:col>21</xdr:col>
      <xdr:colOff>495300</xdr:colOff>
      <xdr:row>15</xdr:row>
      <xdr:rowOff>165100</xdr:rowOff>
    </xdr:to>
    <xdr:graphicFrame macro="">
      <xdr:nvGraphicFramePr>
        <xdr:cNvPr id="206" name="205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14</xdr:col>
      <xdr:colOff>231775</xdr:colOff>
      <xdr:row>1</xdr:row>
      <xdr:rowOff>79375</xdr:rowOff>
    </xdr:from>
    <xdr:to>
      <xdr:col>21</xdr:col>
      <xdr:colOff>495300</xdr:colOff>
      <xdr:row>15</xdr:row>
      <xdr:rowOff>165100</xdr:rowOff>
    </xdr:to>
    <xdr:graphicFrame macro="">
      <xdr:nvGraphicFramePr>
        <xdr:cNvPr id="207" name="206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14</xdr:col>
      <xdr:colOff>231775</xdr:colOff>
      <xdr:row>1</xdr:row>
      <xdr:rowOff>79375</xdr:rowOff>
    </xdr:from>
    <xdr:to>
      <xdr:col>21</xdr:col>
      <xdr:colOff>495300</xdr:colOff>
      <xdr:row>15</xdr:row>
      <xdr:rowOff>165100</xdr:rowOff>
    </xdr:to>
    <xdr:graphicFrame macro="">
      <xdr:nvGraphicFramePr>
        <xdr:cNvPr id="208" name="207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14</xdr:col>
      <xdr:colOff>231775</xdr:colOff>
      <xdr:row>1</xdr:row>
      <xdr:rowOff>79375</xdr:rowOff>
    </xdr:from>
    <xdr:to>
      <xdr:col>21</xdr:col>
      <xdr:colOff>495300</xdr:colOff>
      <xdr:row>15</xdr:row>
      <xdr:rowOff>165100</xdr:rowOff>
    </xdr:to>
    <xdr:graphicFrame macro="">
      <xdr:nvGraphicFramePr>
        <xdr:cNvPr id="209" name="208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14</xdr:col>
      <xdr:colOff>231775</xdr:colOff>
      <xdr:row>1</xdr:row>
      <xdr:rowOff>79375</xdr:rowOff>
    </xdr:from>
    <xdr:to>
      <xdr:col>21</xdr:col>
      <xdr:colOff>495300</xdr:colOff>
      <xdr:row>15</xdr:row>
      <xdr:rowOff>165100</xdr:rowOff>
    </xdr:to>
    <xdr:graphicFrame macro="">
      <xdr:nvGraphicFramePr>
        <xdr:cNvPr id="210" name="209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14</xdr:col>
      <xdr:colOff>231775</xdr:colOff>
      <xdr:row>1</xdr:row>
      <xdr:rowOff>79375</xdr:rowOff>
    </xdr:from>
    <xdr:to>
      <xdr:col>21</xdr:col>
      <xdr:colOff>495300</xdr:colOff>
      <xdr:row>15</xdr:row>
      <xdr:rowOff>165100</xdr:rowOff>
    </xdr:to>
    <xdr:graphicFrame macro="">
      <xdr:nvGraphicFramePr>
        <xdr:cNvPr id="19" name="18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14</xdr:col>
      <xdr:colOff>231775</xdr:colOff>
      <xdr:row>1</xdr:row>
      <xdr:rowOff>79375</xdr:rowOff>
    </xdr:from>
    <xdr:to>
      <xdr:col>21</xdr:col>
      <xdr:colOff>495300</xdr:colOff>
      <xdr:row>15</xdr:row>
      <xdr:rowOff>165100</xdr:rowOff>
    </xdr:to>
    <xdr:graphicFrame macro="">
      <xdr:nvGraphicFramePr>
        <xdr:cNvPr id="20" name="19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14</xdr:col>
      <xdr:colOff>231775</xdr:colOff>
      <xdr:row>1</xdr:row>
      <xdr:rowOff>79375</xdr:rowOff>
    </xdr:from>
    <xdr:to>
      <xdr:col>21</xdr:col>
      <xdr:colOff>495300</xdr:colOff>
      <xdr:row>15</xdr:row>
      <xdr:rowOff>165100</xdr:rowOff>
    </xdr:to>
    <xdr:graphicFrame macro="">
      <xdr:nvGraphicFramePr>
        <xdr:cNvPr id="21" name="20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882650</xdr:colOff>
      <xdr:row>17</xdr:row>
      <xdr:rowOff>101600</xdr:rowOff>
    </xdr:from>
    <xdr:to>
      <xdr:col>10</xdr:col>
      <xdr:colOff>482600</xdr:colOff>
      <xdr:row>29</xdr:row>
      <xdr:rowOff>73025</xdr:rowOff>
    </xdr:to>
    <xdr:graphicFrame macro="">
      <xdr:nvGraphicFramePr>
        <xdr:cNvPr id="22" name="2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11</xdr:col>
      <xdr:colOff>38100</xdr:colOff>
      <xdr:row>17</xdr:row>
      <xdr:rowOff>101600</xdr:rowOff>
    </xdr:from>
    <xdr:to>
      <xdr:col>15</xdr:col>
      <xdr:colOff>104775</xdr:colOff>
      <xdr:row>29</xdr:row>
      <xdr:rowOff>73025</xdr:rowOff>
    </xdr:to>
    <xdr:graphicFrame macro="">
      <xdr:nvGraphicFramePr>
        <xdr:cNvPr id="23" name="22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882650</xdr:colOff>
      <xdr:row>30</xdr:row>
      <xdr:rowOff>136525</xdr:rowOff>
    </xdr:from>
    <xdr:to>
      <xdr:col>10</xdr:col>
      <xdr:colOff>482600</xdr:colOff>
      <xdr:row>44</xdr:row>
      <xdr:rowOff>136525</xdr:rowOff>
    </xdr:to>
    <xdr:graphicFrame macro="">
      <xdr:nvGraphicFramePr>
        <xdr:cNvPr id="24" name="23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14</xdr:col>
      <xdr:colOff>231775</xdr:colOff>
      <xdr:row>1</xdr:row>
      <xdr:rowOff>79375</xdr:rowOff>
    </xdr:from>
    <xdr:to>
      <xdr:col>21</xdr:col>
      <xdr:colOff>495300</xdr:colOff>
      <xdr:row>15</xdr:row>
      <xdr:rowOff>165100</xdr:rowOff>
    </xdr:to>
    <xdr:graphicFrame macro="">
      <xdr:nvGraphicFramePr>
        <xdr:cNvPr id="25" name="24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14</xdr:col>
      <xdr:colOff>231775</xdr:colOff>
      <xdr:row>1</xdr:row>
      <xdr:rowOff>79375</xdr:rowOff>
    </xdr:from>
    <xdr:to>
      <xdr:col>21</xdr:col>
      <xdr:colOff>495300</xdr:colOff>
      <xdr:row>15</xdr:row>
      <xdr:rowOff>165100</xdr:rowOff>
    </xdr:to>
    <xdr:graphicFrame macro="">
      <xdr:nvGraphicFramePr>
        <xdr:cNvPr id="26" name="25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14</xdr:col>
      <xdr:colOff>231775</xdr:colOff>
      <xdr:row>1</xdr:row>
      <xdr:rowOff>79375</xdr:rowOff>
    </xdr:from>
    <xdr:to>
      <xdr:col>21</xdr:col>
      <xdr:colOff>495300</xdr:colOff>
      <xdr:row>15</xdr:row>
      <xdr:rowOff>165100</xdr:rowOff>
    </xdr:to>
    <xdr:graphicFrame macro="">
      <xdr:nvGraphicFramePr>
        <xdr:cNvPr id="27" name="26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447675</xdr:colOff>
      <xdr:row>3</xdr:row>
      <xdr:rowOff>38100</xdr:rowOff>
    </xdr:from>
    <xdr:to>
      <xdr:col>13</xdr:col>
      <xdr:colOff>447675</xdr:colOff>
      <xdr:row>17</xdr:row>
      <xdr:rowOff>114300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A1:BL58"/>
  <sheetViews>
    <sheetView tabSelected="1" zoomScale="70" zoomScaleNormal="70" workbookViewId="0">
      <selection activeCell="K14" sqref="K14"/>
    </sheetView>
  </sheetViews>
  <sheetFormatPr baseColWidth="10" defaultRowHeight="15"/>
  <cols>
    <col min="3" max="3" width="17.7109375" customWidth="1"/>
    <col min="4" max="4" width="21.7109375" customWidth="1"/>
    <col min="5" max="5" width="19.7109375" customWidth="1"/>
    <col min="6" max="6" width="17" customWidth="1"/>
    <col min="7" max="7" width="18.140625" customWidth="1"/>
    <col min="8" max="8" width="19.42578125" customWidth="1"/>
    <col min="12" max="12" width="11.42578125" customWidth="1"/>
    <col min="13" max="13" width="36.140625" customWidth="1"/>
    <col min="16" max="16" width="14.140625" customWidth="1"/>
    <col min="24" max="24" width="22.42578125" customWidth="1"/>
    <col min="25" max="25" width="15.7109375" customWidth="1"/>
    <col min="26" max="26" width="15.140625" customWidth="1"/>
    <col min="27" max="27" width="19" customWidth="1"/>
    <col min="28" max="28" width="16.7109375" customWidth="1"/>
    <col min="30" max="30" width="18.7109375" customWidth="1"/>
    <col min="31" max="31" width="17.5703125" customWidth="1"/>
    <col min="32" max="32" width="15.5703125" customWidth="1"/>
    <col min="33" max="33" width="13.7109375" customWidth="1"/>
    <col min="34" max="34" width="14.7109375" customWidth="1"/>
    <col min="40" max="40" width="11.42578125" customWidth="1"/>
    <col min="41" max="41" width="11.42578125" hidden="1" customWidth="1"/>
    <col min="42" max="42" width="13.7109375" customWidth="1"/>
    <col min="43" max="43" width="16.28515625" customWidth="1"/>
    <col min="44" max="44" width="14.28515625" customWidth="1"/>
    <col min="45" max="45" width="14.42578125" customWidth="1"/>
    <col min="46" max="46" width="15.7109375" customWidth="1"/>
    <col min="47" max="47" width="17.140625" customWidth="1"/>
    <col min="48" max="48" width="16.140625" customWidth="1"/>
    <col min="49" max="49" width="14.85546875" customWidth="1"/>
    <col min="50" max="50" width="16.5703125" customWidth="1"/>
  </cols>
  <sheetData>
    <row r="1" spans="1:64" ht="18.75">
      <c r="A1" s="15">
        <v>1.8</v>
      </c>
      <c r="B1" s="15">
        <v>4.022222222222223</v>
      </c>
      <c r="C1" s="1"/>
      <c r="D1" s="24" t="s">
        <v>8</v>
      </c>
      <c r="E1" s="24"/>
      <c r="F1" s="24"/>
      <c r="G1" s="24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7" t="s">
        <v>21</v>
      </c>
      <c r="Y1" s="24" t="s">
        <v>8</v>
      </c>
      <c r="Z1" s="24"/>
      <c r="AA1" s="24"/>
      <c r="AB1" s="24"/>
      <c r="AC1" s="1"/>
      <c r="AD1" s="18" t="s">
        <v>24</v>
      </c>
      <c r="AE1" s="24" t="s">
        <v>8</v>
      </c>
      <c r="AF1" s="24"/>
      <c r="AG1" s="24"/>
      <c r="AH1" s="24"/>
      <c r="AI1" s="1"/>
      <c r="AJ1" s="1"/>
      <c r="AK1" s="1"/>
      <c r="AL1" s="1"/>
      <c r="AM1" s="1"/>
      <c r="AN1" s="1"/>
      <c r="AO1" s="1"/>
      <c r="AP1" s="29"/>
      <c r="AQ1" s="29"/>
      <c r="AR1" s="29"/>
      <c r="AS1" s="29"/>
      <c r="AT1" s="29"/>
      <c r="AU1" s="24"/>
      <c r="AV1" s="24"/>
      <c r="AW1" s="24"/>
      <c r="AX1" s="24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</row>
    <row r="2" spans="1:64">
      <c r="A2" s="15">
        <v>1.7193749999999999</v>
      </c>
      <c r="B2" s="15">
        <v>-1.7361111111111143</v>
      </c>
      <c r="C2" s="1"/>
      <c r="D2" s="6">
        <v>10000</v>
      </c>
      <c r="E2" s="6">
        <v>12000</v>
      </c>
      <c r="F2" s="6">
        <v>14000</v>
      </c>
      <c r="G2" s="6">
        <v>16000</v>
      </c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6">
        <v>10000</v>
      </c>
      <c r="Z2" s="6">
        <v>12000</v>
      </c>
      <c r="AA2" s="6">
        <v>14000</v>
      </c>
      <c r="AB2" s="6"/>
      <c r="AC2" s="1"/>
      <c r="AD2" s="1"/>
      <c r="AE2" s="6">
        <v>10000</v>
      </c>
      <c r="AF2" s="6">
        <v>12000</v>
      </c>
      <c r="AG2" s="6">
        <v>14000</v>
      </c>
      <c r="AH2" s="6"/>
      <c r="AI2" s="1"/>
      <c r="AJ2" s="1"/>
      <c r="AK2" s="1"/>
      <c r="AL2" s="1"/>
      <c r="AM2" s="1"/>
      <c r="AN2" s="1"/>
      <c r="AO2" s="1"/>
      <c r="AP2" s="2"/>
      <c r="AQ2" s="2"/>
      <c r="AR2" s="2"/>
      <c r="AS2" s="2"/>
      <c r="AT2" s="1"/>
      <c r="AU2" s="6"/>
      <c r="AV2" s="6"/>
      <c r="AW2" s="6"/>
      <c r="AX2" s="6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</row>
    <row r="3" spans="1:64" ht="19.5">
      <c r="A3" s="15">
        <v>1.4868749999999997</v>
      </c>
      <c r="B3" s="15">
        <v>-8.0833333333333357</v>
      </c>
      <c r="C3" s="2" t="s">
        <v>9</v>
      </c>
      <c r="D3" s="2" t="s">
        <v>10</v>
      </c>
      <c r="E3" s="2" t="s">
        <v>10</v>
      </c>
      <c r="F3" s="2" t="s">
        <v>10</v>
      </c>
      <c r="G3" s="2" t="s">
        <v>10</v>
      </c>
      <c r="H3" s="1"/>
      <c r="I3" s="2" t="s">
        <v>6</v>
      </c>
      <c r="J3" s="1"/>
      <c r="K3" s="5"/>
      <c r="L3" s="1"/>
      <c r="M3" s="12" t="s">
        <v>7</v>
      </c>
      <c r="N3" s="1"/>
      <c r="O3" s="1"/>
      <c r="P3" s="1"/>
      <c r="Q3" s="1"/>
      <c r="R3" s="1"/>
      <c r="S3" s="1"/>
      <c r="T3" s="1"/>
      <c r="U3" s="1"/>
      <c r="V3" s="1"/>
      <c r="W3" s="1"/>
      <c r="X3" s="2" t="s">
        <v>9</v>
      </c>
      <c r="Y3" s="2" t="s">
        <v>10</v>
      </c>
      <c r="Z3" s="2" t="s">
        <v>0</v>
      </c>
      <c r="AA3" s="2" t="s">
        <v>1</v>
      </c>
      <c r="AB3" s="8"/>
      <c r="AC3" s="8"/>
      <c r="AD3" s="2" t="s">
        <v>9</v>
      </c>
      <c r="AE3" s="2" t="s">
        <v>10</v>
      </c>
      <c r="AF3" s="2" t="s">
        <v>10</v>
      </c>
      <c r="AG3" s="2" t="s">
        <v>10</v>
      </c>
      <c r="AH3" s="2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2"/>
      <c r="AV3" s="2"/>
      <c r="AW3" s="2"/>
      <c r="AX3" s="2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</row>
    <row r="4" spans="1:64">
      <c r="A4" s="15">
        <v>1.0012499999999993</v>
      </c>
      <c r="B4" s="16">
        <v>9.8979166666666742</v>
      </c>
      <c r="C4" s="3">
        <v>1</v>
      </c>
      <c r="D4" s="3">
        <v>2</v>
      </c>
      <c r="E4" s="3">
        <v>3.1</v>
      </c>
      <c r="F4" s="3">
        <v>4.5</v>
      </c>
      <c r="G4" s="9">
        <f>6*I4</f>
        <v>6</v>
      </c>
      <c r="H4" s="2"/>
      <c r="I4" s="14">
        <v>1</v>
      </c>
      <c r="J4" s="1"/>
      <c r="K4" s="5" t="s">
        <v>14</v>
      </c>
      <c r="L4" s="2"/>
      <c r="M4" s="1"/>
      <c r="N4" s="1"/>
      <c r="O4" s="1"/>
      <c r="P4" s="1"/>
      <c r="Q4" s="2"/>
      <c r="R4" s="1"/>
      <c r="S4" s="1"/>
      <c r="T4" s="1"/>
      <c r="U4" s="1"/>
      <c r="V4" s="1"/>
      <c r="W4" s="1"/>
      <c r="X4" s="3">
        <v>1</v>
      </c>
      <c r="Y4" s="3">
        <v>0.2</v>
      </c>
      <c r="Z4" s="3">
        <v>0.25</v>
      </c>
      <c r="AA4" s="3">
        <v>0.3</v>
      </c>
      <c r="AB4" s="10"/>
      <c r="AC4" s="7"/>
      <c r="AD4" s="3">
        <v>1</v>
      </c>
      <c r="AE4" s="3">
        <v>1.25</v>
      </c>
      <c r="AF4" s="3">
        <v>1.35</v>
      </c>
      <c r="AG4" s="3">
        <v>1.5</v>
      </c>
      <c r="AH4" s="19"/>
      <c r="AI4" s="1"/>
      <c r="AJ4" s="1"/>
      <c r="AK4" s="1"/>
      <c r="AL4" s="1"/>
      <c r="AM4" s="1"/>
      <c r="AN4" s="1"/>
      <c r="AO4" s="1"/>
      <c r="AP4" s="2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</row>
    <row r="5" spans="1:64">
      <c r="A5" s="15">
        <v>0.16124999999999856</v>
      </c>
      <c r="B5" s="16">
        <v>2.10166425470333</v>
      </c>
      <c r="C5" s="3">
        <f>C4+0.225</f>
        <v>1.2250000000000001</v>
      </c>
      <c r="D5" s="3">
        <f>D4-(C5-1.5)^2</f>
        <v>1.9243749999999999</v>
      </c>
      <c r="E5" s="3">
        <f>E4-(C5-1.5)^2</f>
        <v>3.024375</v>
      </c>
      <c r="F5" s="3">
        <f>F4-(C5-1.5)^2</f>
        <v>4.4243750000000004</v>
      </c>
      <c r="G5" s="9">
        <f>(G4-(C5-1.5)^2)*$I$4</f>
        <v>5.9243750000000004</v>
      </c>
      <c r="H5" s="2"/>
      <c r="I5" s="2"/>
      <c r="J5" s="1"/>
      <c r="K5" s="5" t="s">
        <v>15</v>
      </c>
      <c r="L5" s="1"/>
      <c r="M5" s="1"/>
      <c r="N5" s="1"/>
      <c r="O5" s="1"/>
      <c r="P5" s="1"/>
      <c r="Q5" s="2">
        <v>4</v>
      </c>
      <c r="R5" s="1"/>
      <c r="S5" s="1"/>
      <c r="T5" s="1"/>
      <c r="U5" s="1"/>
      <c r="V5" s="1"/>
      <c r="W5" s="1"/>
      <c r="X5" s="3">
        <f>X4+0.225</f>
        <v>1.2250000000000001</v>
      </c>
      <c r="Y5" s="3">
        <f>Y4+$I$7*(X5-1.22)</f>
        <v>0.20500000000000013</v>
      </c>
      <c r="Z5" s="3">
        <f>Z4+(X5-1.22)</f>
        <v>0.25500000000000012</v>
      </c>
      <c r="AA5" s="3">
        <f>AA4+(X5-1.22)</f>
        <v>0.3050000000000001</v>
      </c>
      <c r="AB5" s="10"/>
      <c r="AC5" s="7"/>
      <c r="AD5" s="3">
        <f>AD4+0.225</f>
        <v>1.2250000000000001</v>
      </c>
      <c r="AE5" s="3">
        <f>FlujoM2+0.225</f>
        <v>1.4750000000000001</v>
      </c>
      <c r="AF5" s="3">
        <f>FlujoM3+0.225</f>
        <v>1.5750000000000002</v>
      </c>
      <c r="AG5" s="3">
        <f>FlujoM4+0.225</f>
        <v>1.7250000000000001</v>
      </c>
      <c r="AH5" s="19"/>
      <c r="AI5" s="1"/>
      <c r="AJ5" s="1"/>
      <c r="AK5" s="1"/>
      <c r="AL5" s="1"/>
      <c r="AM5" s="1"/>
      <c r="AN5" s="1"/>
      <c r="AO5" s="1"/>
      <c r="AP5" s="2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</row>
    <row r="6" spans="1:64">
      <c r="A6" s="15">
        <v>-1.1343750000000026</v>
      </c>
      <c r="B6" s="16"/>
      <c r="C6" s="3">
        <f t="shared" ref="C6:C11" si="0">C5+0.225</f>
        <v>1.4500000000000002</v>
      </c>
      <c r="D6" s="3">
        <f t="shared" ref="D6:D11" si="1">D5-(C6-1.5)^2</f>
        <v>1.921875</v>
      </c>
      <c r="E6" s="3">
        <f t="shared" ref="E6:E11" si="2">E5-(C6-1.5)^2</f>
        <v>3.0218750000000001</v>
      </c>
      <c r="F6" s="3">
        <f t="shared" ref="F6:F11" si="3">F5-(C6-1.5)^2</f>
        <v>4.421875</v>
      </c>
      <c r="G6" s="9">
        <f t="shared" ref="G6:G11" si="4">(G5-(C6-1.5)^2)*$I$4</f>
        <v>5.921875</v>
      </c>
      <c r="H6" s="2"/>
      <c r="I6" s="2" t="s">
        <v>12</v>
      </c>
      <c r="J6" s="1"/>
      <c r="K6" s="5" t="s">
        <v>16</v>
      </c>
      <c r="L6" s="1"/>
      <c r="M6" s="1"/>
      <c r="N6" s="1"/>
      <c r="O6" s="1"/>
      <c r="P6" s="1"/>
      <c r="Q6" s="2"/>
      <c r="R6" s="1"/>
      <c r="S6" s="1"/>
      <c r="T6" s="1"/>
      <c r="U6" s="1"/>
      <c r="V6" s="1"/>
      <c r="W6" s="1"/>
      <c r="X6" s="3">
        <f t="shared" ref="X6:X11" si="5">X5+0.225</f>
        <v>1.4500000000000002</v>
      </c>
      <c r="Y6" s="3">
        <f t="shared" ref="Y6:Y11" si="6">Y5+$I$7*(X6-1.22)</f>
        <v>0.43500000000000033</v>
      </c>
      <c r="Z6" s="3">
        <f t="shared" ref="Z6:Z11" si="7">Z5+(X6-1.22)</f>
        <v>0.48500000000000032</v>
      </c>
      <c r="AA6" s="3">
        <f t="shared" ref="AA6:AA11" si="8">AA5+(X6-1.22)</f>
        <v>0.53500000000000036</v>
      </c>
      <c r="AB6" s="10"/>
      <c r="AC6" s="7"/>
      <c r="AD6" s="3">
        <f t="shared" ref="AD6:AG11" si="9">AD5+0.225</f>
        <v>1.4500000000000002</v>
      </c>
      <c r="AE6" s="3">
        <f>AE5+0.225</f>
        <v>1.7000000000000002</v>
      </c>
      <c r="AF6" s="3">
        <f>AF5+0.225</f>
        <v>1.8000000000000003</v>
      </c>
      <c r="AG6" s="3">
        <f>AG5+0.225</f>
        <v>1.9500000000000002</v>
      </c>
      <c r="AH6" s="19"/>
      <c r="AI6" s="1"/>
      <c r="AJ6" s="1"/>
      <c r="AK6" s="1"/>
      <c r="AL6" s="1"/>
      <c r="AM6" s="1"/>
      <c r="AN6" s="1"/>
      <c r="AO6" s="1"/>
      <c r="AP6" s="2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</row>
    <row r="7" spans="1:64">
      <c r="A7" s="15">
        <v>-1.9868750000000039</v>
      </c>
      <c r="B7" s="16"/>
      <c r="C7" s="3">
        <f t="shared" si="0"/>
        <v>1.6750000000000003</v>
      </c>
      <c r="D7" s="3">
        <f t="shared" si="1"/>
        <v>1.8912499999999999</v>
      </c>
      <c r="E7" s="3">
        <f t="shared" si="2"/>
        <v>2.99125</v>
      </c>
      <c r="F7" s="3">
        <f t="shared" si="3"/>
        <v>4.3912500000000003</v>
      </c>
      <c r="G7" s="9">
        <f t="shared" si="4"/>
        <v>5.8912500000000003</v>
      </c>
      <c r="H7" s="2"/>
      <c r="I7" s="2">
        <v>1</v>
      </c>
      <c r="J7" s="1"/>
      <c r="K7" s="5" t="s">
        <v>17</v>
      </c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3">
        <f t="shared" si="5"/>
        <v>1.6750000000000003</v>
      </c>
      <c r="Y7" s="3">
        <f t="shared" si="6"/>
        <v>0.89000000000000057</v>
      </c>
      <c r="Z7" s="3">
        <f t="shared" si="7"/>
        <v>0.94000000000000061</v>
      </c>
      <c r="AA7" s="3">
        <f t="shared" si="8"/>
        <v>0.99000000000000066</v>
      </c>
      <c r="AB7" s="10"/>
      <c r="AC7" s="7"/>
      <c r="AD7" s="3">
        <f t="shared" si="9"/>
        <v>1.6750000000000003</v>
      </c>
      <c r="AE7" s="3">
        <f t="shared" si="9"/>
        <v>1.9250000000000003</v>
      </c>
      <c r="AF7" s="3">
        <f t="shared" si="9"/>
        <v>2.0250000000000004</v>
      </c>
      <c r="AG7" s="3">
        <f t="shared" si="9"/>
        <v>2.1750000000000003</v>
      </c>
      <c r="AH7" s="19"/>
      <c r="AI7" s="1"/>
      <c r="AJ7" s="1"/>
      <c r="AK7" s="1"/>
      <c r="AL7" s="1"/>
      <c r="AM7" s="1"/>
      <c r="AN7" s="1"/>
      <c r="AO7" s="1"/>
      <c r="AP7" s="2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</row>
    <row r="8" spans="1:64">
      <c r="A8" s="15">
        <v>-4.4975000000000058</v>
      </c>
      <c r="B8" s="15"/>
      <c r="C8" s="3">
        <f t="shared" si="0"/>
        <v>1.9000000000000004</v>
      </c>
      <c r="D8" s="3">
        <f t="shared" si="1"/>
        <v>1.7312499999999995</v>
      </c>
      <c r="E8" s="3">
        <f t="shared" si="2"/>
        <v>2.8312499999999998</v>
      </c>
      <c r="F8" s="3">
        <f t="shared" si="3"/>
        <v>4.2312500000000002</v>
      </c>
      <c r="G8" s="9">
        <f t="shared" si="4"/>
        <v>5.7312500000000002</v>
      </c>
      <c r="H8" s="2"/>
      <c r="I8" s="1"/>
      <c r="J8" s="1"/>
      <c r="K8" s="5"/>
      <c r="L8" s="1"/>
      <c r="M8" s="1"/>
      <c r="N8" s="1"/>
      <c r="P8" s="1"/>
      <c r="Q8" s="1"/>
      <c r="R8" s="1"/>
      <c r="S8" s="1"/>
      <c r="T8" s="1"/>
      <c r="U8" s="1"/>
      <c r="V8" s="1"/>
      <c r="W8" s="1"/>
      <c r="X8" s="3">
        <f t="shared" si="5"/>
        <v>1.9000000000000004</v>
      </c>
      <c r="Y8" s="3">
        <f t="shared" si="6"/>
        <v>1.570000000000001</v>
      </c>
      <c r="Z8" s="3">
        <f t="shared" si="7"/>
        <v>1.620000000000001</v>
      </c>
      <c r="AA8" s="3">
        <f t="shared" si="8"/>
        <v>1.670000000000001</v>
      </c>
      <c r="AB8" s="10"/>
      <c r="AC8" s="7"/>
      <c r="AD8" s="3">
        <f t="shared" si="9"/>
        <v>1.9000000000000004</v>
      </c>
      <c r="AE8" s="3">
        <f t="shared" si="9"/>
        <v>2.1500000000000004</v>
      </c>
      <c r="AF8" s="3">
        <f t="shared" si="9"/>
        <v>2.2500000000000004</v>
      </c>
      <c r="AG8" s="3">
        <f t="shared" si="9"/>
        <v>2.4000000000000004</v>
      </c>
      <c r="AH8" s="19"/>
      <c r="AI8" s="1"/>
      <c r="AJ8" s="1"/>
      <c r="AK8" s="1"/>
      <c r="AL8" s="1"/>
      <c r="AM8" s="1"/>
      <c r="AN8" s="1"/>
      <c r="AO8" s="1"/>
      <c r="AP8" s="2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</row>
    <row r="9" spans="1:64">
      <c r="A9" s="15"/>
      <c r="B9" s="15"/>
      <c r="C9" s="3">
        <f t="shared" si="0"/>
        <v>2.1250000000000004</v>
      </c>
      <c r="D9" s="3">
        <f t="shared" si="1"/>
        <v>1.3406249999999988</v>
      </c>
      <c r="E9" s="3">
        <f t="shared" si="2"/>
        <v>2.4406249999999994</v>
      </c>
      <c r="F9" s="3">
        <f t="shared" si="3"/>
        <v>3.8406249999999997</v>
      </c>
      <c r="G9" s="9">
        <f t="shared" si="4"/>
        <v>5.3406249999999993</v>
      </c>
      <c r="H9" s="2"/>
      <c r="I9" s="1"/>
      <c r="J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3">
        <f t="shared" si="5"/>
        <v>2.1250000000000004</v>
      </c>
      <c r="Y9" s="3">
        <f t="shared" si="6"/>
        <v>2.4750000000000014</v>
      </c>
      <c r="Z9" s="3">
        <f t="shared" si="7"/>
        <v>2.5250000000000012</v>
      </c>
      <c r="AA9" s="3">
        <f t="shared" si="8"/>
        <v>2.5750000000000015</v>
      </c>
      <c r="AB9" s="10"/>
      <c r="AC9" s="7"/>
      <c r="AD9" s="3">
        <f t="shared" si="9"/>
        <v>2.1250000000000004</v>
      </c>
      <c r="AE9" s="3">
        <f t="shared" si="9"/>
        <v>2.3750000000000004</v>
      </c>
      <c r="AF9" s="3">
        <f t="shared" si="9"/>
        <v>2.4750000000000005</v>
      </c>
      <c r="AG9" s="3">
        <f t="shared" si="9"/>
        <v>2.6250000000000004</v>
      </c>
      <c r="AH9" s="19"/>
      <c r="AI9" s="1"/>
      <c r="AJ9" s="1"/>
      <c r="AK9" s="1"/>
      <c r="AL9" s="1"/>
      <c r="AM9" s="1"/>
      <c r="AN9" s="1"/>
      <c r="AO9" s="1"/>
      <c r="AP9" s="2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</row>
    <row r="10" spans="1:64" ht="18.75">
      <c r="A10" s="1"/>
      <c r="B10" s="1"/>
      <c r="C10" s="3">
        <f t="shared" si="0"/>
        <v>2.3500000000000005</v>
      </c>
      <c r="D10" s="3">
        <f t="shared" si="1"/>
        <v>0.61812499999999793</v>
      </c>
      <c r="E10" s="3">
        <f t="shared" si="2"/>
        <v>1.7181249999999983</v>
      </c>
      <c r="F10" s="3">
        <f t="shared" si="3"/>
        <v>3.1181249999999987</v>
      </c>
      <c r="G10" s="9">
        <f t="shared" si="4"/>
        <v>4.6181249999999983</v>
      </c>
      <c r="H10" s="2"/>
      <c r="I10" s="1"/>
      <c r="J10" s="1"/>
      <c r="K10" s="1"/>
      <c r="L10" s="1"/>
      <c r="M10" s="4" t="s">
        <v>11</v>
      </c>
      <c r="N10" s="1"/>
      <c r="O10" s="1"/>
      <c r="P10" s="1"/>
      <c r="Q10" s="1"/>
      <c r="R10" s="1"/>
      <c r="S10" s="1"/>
      <c r="T10" s="1"/>
      <c r="U10" s="1"/>
      <c r="V10" s="1"/>
      <c r="W10" s="1"/>
      <c r="X10" s="3">
        <f t="shared" si="5"/>
        <v>2.3500000000000005</v>
      </c>
      <c r="Y10" s="3">
        <f t="shared" si="6"/>
        <v>3.6050000000000022</v>
      </c>
      <c r="Z10" s="3">
        <f t="shared" si="7"/>
        <v>3.655000000000002</v>
      </c>
      <c r="AA10" s="3">
        <f t="shared" si="8"/>
        <v>3.7050000000000018</v>
      </c>
      <c r="AB10" s="10"/>
      <c r="AC10" s="7"/>
      <c r="AD10" s="3">
        <f t="shared" si="9"/>
        <v>2.3500000000000005</v>
      </c>
      <c r="AE10" s="3">
        <f t="shared" si="9"/>
        <v>2.6000000000000005</v>
      </c>
      <c r="AF10" s="3">
        <f t="shared" si="9"/>
        <v>2.7000000000000006</v>
      </c>
      <c r="AG10" s="3">
        <f t="shared" si="9"/>
        <v>2.8500000000000005</v>
      </c>
      <c r="AH10" s="19"/>
      <c r="AI10" s="1"/>
      <c r="AJ10" s="1"/>
      <c r="AK10" s="1"/>
      <c r="AL10" s="1"/>
      <c r="AM10" s="1"/>
      <c r="AN10" s="1"/>
      <c r="AO10" s="1"/>
      <c r="AP10" s="2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</row>
    <row r="11" spans="1:64">
      <c r="A11" s="1"/>
      <c r="B11" s="1"/>
      <c r="C11" s="3">
        <f t="shared" si="0"/>
        <v>2.5750000000000006</v>
      </c>
      <c r="D11" s="3">
        <f t="shared" si="1"/>
        <v>-0.53750000000000331</v>
      </c>
      <c r="E11" s="3">
        <f t="shared" si="2"/>
        <v>0.56249999999999711</v>
      </c>
      <c r="F11" s="3">
        <f t="shared" si="3"/>
        <v>1.9624999999999975</v>
      </c>
      <c r="G11" s="9">
        <f t="shared" si="4"/>
        <v>3.4624999999999968</v>
      </c>
      <c r="H11" s="2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3">
        <f t="shared" si="5"/>
        <v>2.5750000000000006</v>
      </c>
      <c r="Y11" s="3">
        <f t="shared" si="6"/>
        <v>4.9600000000000026</v>
      </c>
      <c r="Z11" s="3">
        <f t="shared" si="7"/>
        <v>5.0100000000000025</v>
      </c>
      <c r="AA11" s="3">
        <f t="shared" si="8"/>
        <v>5.0600000000000023</v>
      </c>
      <c r="AB11" s="10"/>
      <c r="AC11" s="7"/>
      <c r="AD11" s="3">
        <f t="shared" si="9"/>
        <v>2.5750000000000006</v>
      </c>
      <c r="AE11" s="3">
        <f t="shared" si="9"/>
        <v>2.8250000000000006</v>
      </c>
      <c r="AF11" s="3">
        <f t="shared" si="9"/>
        <v>2.9250000000000007</v>
      </c>
      <c r="AG11" s="3">
        <f t="shared" si="9"/>
        <v>3.0750000000000006</v>
      </c>
      <c r="AH11" s="19"/>
      <c r="AI11" s="1"/>
      <c r="AJ11" s="1"/>
      <c r="AK11" s="1"/>
      <c r="AL11" s="1"/>
      <c r="AM11" s="1"/>
      <c r="AN11" s="1"/>
      <c r="AO11" s="1"/>
      <c r="AP11" s="2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</row>
    <row r="12" spans="1:64">
      <c r="A12" s="1"/>
      <c r="B12" s="1"/>
      <c r="C12" s="7"/>
      <c r="D12" s="7"/>
      <c r="E12" s="7"/>
      <c r="F12" s="7"/>
      <c r="G12" s="8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8"/>
      <c r="AD12" s="8"/>
      <c r="AE12" s="8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</row>
    <row r="13" spans="1:64">
      <c r="A13" s="1"/>
      <c r="B13" s="1"/>
      <c r="C13" s="7"/>
      <c r="D13" s="7"/>
      <c r="E13" s="7"/>
      <c r="F13" s="7"/>
      <c r="G13" s="8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</row>
    <row r="14" spans="1:64">
      <c r="A14" s="1"/>
      <c r="B14" s="1"/>
      <c r="C14" s="7"/>
      <c r="D14" s="7"/>
      <c r="E14" s="7"/>
      <c r="F14" s="7"/>
      <c r="G14" s="8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</row>
    <row r="15" spans="1:64">
      <c r="A15" s="1"/>
      <c r="B15" s="1"/>
      <c r="C15" s="7"/>
      <c r="D15" s="7"/>
      <c r="E15" s="7"/>
      <c r="F15" s="7"/>
      <c r="G15" s="8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</row>
    <row r="16" spans="1:64">
      <c r="A16" s="1"/>
      <c r="B16" s="1"/>
      <c r="C16" s="7"/>
      <c r="D16" s="7"/>
      <c r="E16" s="7"/>
      <c r="F16" s="7"/>
      <c r="G16" s="8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</row>
    <row r="17" spans="1:64">
      <c r="A17" s="1"/>
      <c r="B17" s="1"/>
      <c r="C17" s="7"/>
      <c r="D17" s="7"/>
      <c r="E17" s="7"/>
      <c r="F17" s="7"/>
      <c r="G17" s="8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</row>
    <row r="18" spans="1:64" ht="15.75" thickBot="1">
      <c r="A18" s="1"/>
      <c r="B18" s="1"/>
      <c r="C18" s="7"/>
      <c r="D18" s="7"/>
      <c r="E18" s="7"/>
      <c r="F18" s="7"/>
      <c r="G18" s="8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</row>
    <row r="19" spans="1:64" ht="21.75" thickBot="1">
      <c r="A19" s="1"/>
      <c r="B19" s="1"/>
      <c r="C19" s="7"/>
      <c r="D19" s="7"/>
      <c r="E19" s="7"/>
      <c r="F19" s="7"/>
      <c r="G19" s="8"/>
      <c r="H19" s="1"/>
      <c r="I19" s="1"/>
      <c r="J19" s="1"/>
      <c r="K19" s="1"/>
      <c r="L19" s="1"/>
      <c r="M19" s="1"/>
      <c r="N19" s="1"/>
      <c r="O19" s="1"/>
      <c r="P19" s="1"/>
      <c r="Q19" s="25" t="s">
        <v>18</v>
      </c>
      <c r="R19" s="26"/>
      <c r="S19" s="26"/>
      <c r="T19" s="26"/>
      <c r="U19" s="26"/>
      <c r="V19" s="26"/>
      <c r="W19" s="27"/>
      <c r="X19" s="1"/>
      <c r="Y19" s="21" t="s">
        <v>22</v>
      </c>
      <c r="Z19" s="22"/>
      <c r="AA19" s="23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</row>
    <row r="20" spans="1:64">
      <c r="A20" s="1"/>
      <c r="B20" s="1"/>
      <c r="C20" s="7"/>
      <c r="D20" s="7"/>
      <c r="E20" s="7"/>
      <c r="F20" s="7"/>
      <c r="G20" s="8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</row>
    <row r="21" spans="1:64" ht="23.25">
      <c r="A21" s="1"/>
      <c r="B21" s="1"/>
      <c r="C21" s="7"/>
      <c r="D21" s="7"/>
      <c r="E21" s="7"/>
      <c r="F21" s="7"/>
      <c r="G21" s="8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28">
        <v>1.9280028943560099</v>
      </c>
      <c r="T21" s="28"/>
      <c r="U21" s="13" t="s">
        <v>13</v>
      </c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</row>
    <row r="22" spans="1:64" ht="15.75" thickBot="1">
      <c r="A22" s="1"/>
      <c r="B22" s="1"/>
      <c r="C22" s="7"/>
      <c r="D22" s="7"/>
      <c r="E22" s="7"/>
      <c r="F22" s="7"/>
      <c r="G22" s="8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</row>
    <row r="23" spans="1:64" ht="21.75" thickBot="1">
      <c r="A23" s="1"/>
      <c r="B23" s="1"/>
      <c r="C23" s="7"/>
      <c r="D23" s="7"/>
      <c r="E23" s="7"/>
      <c r="F23" s="7"/>
      <c r="G23" s="8"/>
      <c r="H23" s="1"/>
      <c r="I23" s="1"/>
      <c r="J23" s="1"/>
      <c r="K23" s="1"/>
      <c r="L23" s="1"/>
      <c r="M23" s="1"/>
      <c r="N23" s="1"/>
      <c r="O23" s="1"/>
      <c r="P23" s="1"/>
      <c r="Q23" s="25" t="s">
        <v>19</v>
      </c>
      <c r="R23" s="26"/>
      <c r="S23" s="26"/>
      <c r="T23" s="26"/>
      <c r="U23" s="26"/>
      <c r="V23" s="26"/>
      <c r="W23" s="27"/>
      <c r="X23" s="1"/>
      <c r="Y23" s="21" t="s">
        <v>23</v>
      </c>
      <c r="Z23" s="22"/>
      <c r="AA23" s="23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</row>
    <row r="24" spans="1:64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</row>
    <row r="25" spans="1:64" ht="23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28">
        <v>3.1226483357452963</v>
      </c>
      <c r="T25" s="28"/>
      <c r="U25" s="13" t="s">
        <v>13</v>
      </c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</row>
    <row r="26" spans="1:64" ht="15.75" thickBot="1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</row>
    <row r="27" spans="1:64" ht="21.75" thickBot="1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25" t="s">
        <v>20</v>
      </c>
      <c r="R27" s="26"/>
      <c r="S27" s="26"/>
      <c r="T27" s="26"/>
      <c r="U27" s="26"/>
      <c r="V27" s="26"/>
      <c r="W27" s="27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</row>
    <row r="28" spans="1:64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</row>
    <row r="29" spans="1:64" ht="23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20">
        <f>Resultado2-Resultado</f>
        <v>1.1946454413892864</v>
      </c>
      <c r="T29" s="20"/>
      <c r="U29" s="13" t="s">
        <v>13</v>
      </c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</row>
    <row r="30" spans="1:64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</row>
    <row r="31" spans="1:64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</row>
    <row r="32" spans="1:64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</row>
    <row r="33" spans="1:64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</row>
    <row r="34" spans="1:64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</row>
    <row r="35" spans="1:64" ht="18.75">
      <c r="A35" s="1"/>
      <c r="B35" s="1"/>
      <c r="C35" s="1"/>
      <c r="D35" s="4" t="s">
        <v>2</v>
      </c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</row>
    <row r="36" spans="1:64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</row>
    <row r="37" spans="1:64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</row>
    <row r="38" spans="1:64" ht="18.75">
      <c r="A38" s="1"/>
      <c r="B38" s="1"/>
      <c r="C38" s="1"/>
      <c r="D38" s="4" t="s">
        <v>3</v>
      </c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</row>
    <row r="39" spans="1:64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</row>
    <row r="40" spans="1:64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</row>
    <row r="41" spans="1:64" ht="18.75">
      <c r="A41" s="1"/>
      <c r="B41" s="1"/>
      <c r="C41" s="1"/>
      <c r="D41" s="4" t="s">
        <v>5</v>
      </c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</row>
    <row r="42" spans="1:64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</row>
    <row r="43" spans="1:64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</row>
    <row r="44" spans="1:64" ht="18.75">
      <c r="A44" s="1"/>
      <c r="B44" s="1"/>
      <c r="C44" s="1"/>
      <c r="D44" s="4" t="s">
        <v>4</v>
      </c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</row>
    <row r="45" spans="1:64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</row>
    <row r="46" spans="1:64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</row>
    <row r="47" spans="1:64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</row>
    <row r="48" spans="1:64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</row>
    <row r="49" spans="1:64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</row>
    <row r="50" spans="1:64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</row>
    <row r="51" spans="1:64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</row>
    <row r="52" spans="1:64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</row>
    <row r="53" spans="1:64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</row>
    <row r="54" spans="1:64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</row>
    <row r="55" spans="1:64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</row>
    <row r="56" spans="1:64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</row>
    <row r="57" spans="1:64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</row>
    <row r="58" spans="1:64">
      <c r="A58" s="1"/>
      <c r="B58" s="1"/>
    </row>
  </sheetData>
  <mergeCells count="13">
    <mergeCell ref="AP1:AT1"/>
    <mergeCell ref="AU1:AX1"/>
    <mergeCell ref="AE1:AH1"/>
    <mergeCell ref="S25:T25"/>
    <mergeCell ref="Q27:W27"/>
    <mergeCell ref="S29:T29"/>
    <mergeCell ref="Y19:AA19"/>
    <mergeCell ref="Y23:AA23"/>
    <mergeCell ref="D1:G1"/>
    <mergeCell ref="Y1:AB1"/>
    <mergeCell ref="Q19:W19"/>
    <mergeCell ref="S21:T21"/>
    <mergeCell ref="Q23:W23"/>
  </mergeCells>
  <pageMargins left="0.7" right="0.7" top="0.75" bottom="0.75" header="0.3" footer="0.3"/>
  <pageSetup paperSize="9" orientation="portrait" horizontalDpi="200" verticalDpi="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2"/>
  <dimension ref="A1"/>
  <sheetViews>
    <sheetView workbookViewId="0"/>
  </sheetViews>
  <sheetFormatPr baseColWidth="10" defaultRowHeight="15"/>
  <sheetData/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3"/>
  <dimension ref="A1:S21"/>
  <sheetViews>
    <sheetView zoomScale="70" zoomScaleNormal="70" workbookViewId="0">
      <selection activeCell="D9" sqref="D9"/>
    </sheetView>
  </sheetViews>
  <sheetFormatPr baseColWidth="10" defaultRowHeight="15"/>
  <sheetData>
    <row r="1" spans="1:19">
      <c r="A1" s="2"/>
      <c r="B1" s="2"/>
      <c r="C1" s="2"/>
      <c r="D1" s="2"/>
      <c r="E1" s="1"/>
      <c r="F1" s="2"/>
      <c r="G1" s="2"/>
      <c r="H1" s="2"/>
      <c r="I1" s="2"/>
      <c r="J1" s="1"/>
      <c r="K1" s="2"/>
      <c r="L1" s="2"/>
      <c r="M1" s="2"/>
      <c r="N1" s="2"/>
      <c r="O1" s="1"/>
      <c r="P1" s="2"/>
      <c r="Q1" s="2"/>
      <c r="R1" s="2"/>
      <c r="S1" s="2"/>
    </row>
    <row r="2" spans="1:19">
      <c r="A2" s="7"/>
      <c r="B2" s="7"/>
      <c r="C2" s="7"/>
      <c r="D2" s="7"/>
      <c r="E2" s="8"/>
      <c r="F2" s="7"/>
      <c r="G2" s="7"/>
      <c r="H2" s="7"/>
      <c r="I2" s="7"/>
      <c r="J2" s="8"/>
      <c r="K2" s="7"/>
      <c r="L2" s="7"/>
      <c r="M2" s="7"/>
      <c r="N2" s="7"/>
      <c r="O2" s="8"/>
      <c r="P2" s="7"/>
      <c r="Q2" s="7"/>
      <c r="R2" s="7"/>
      <c r="S2" s="7"/>
    </row>
    <row r="3" spans="1:19">
      <c r="A3" s="7"/>
      <c r="B3" s="7"/>
      <c r="C3" s="7"/>
      <c r="D3" s="7"/>
      <c r="E3" s="8"/>
      <c r="F3" s="7"/>
      <c r="G3" s="7"/>
      <c r="H3" s="7"/>
      <c r="I3" s="7"/>
      <c r="J3" s="8"/>
      <c r="K3" s="7"/>
      <c r="L3" s="7"/>
      <c r="M3" s="7"/>
      <c r="N3" s="7"/>
      <c r="O3" s="8"/>
      <c r="P3" s="7"/>
      <c r="Q3" s="7"/>
      <c r="R3" s="7"/>
      <c r="S3" s="7"/>
    </row>
    <row r="4" spans="1:19">
      <c r="A4" s="7"/>
      <c r="B4" s="7"/>
      <c r="C4" s="7"/>
      <c r="D4" s="7"/>
      <c r="E4" s="8"/>
      <c r="F4" s="7"/>
      <c r="G4" s="7"/>
      <c r="H4" s="7"/>
      <c r="I4" s="7"/>
      <c r="J4" s="8"/>
      <c r="K4" s="7"/>
      <c r="L4" s="7"/>
      <c r="M4" s="7"/>
      <c r="N4" s="7"/>
      <c r="O4" s="8"/>
      <c r="P4" s="7"/>
      <c r="Q4" s="7"/>
      <c r="R4" s="7"/>
      <c r="S4" s="7"/>
    </row>
    <row r="5" spans="1:19">
      <c r="A5" s="7"/>
      <c r="B5" s="7"/>
      <c r="C5" s="7"/>
      <c r="D5" s="7"/>
      <c r="E5" s="8"/>
      <c r="F5" s="7"/>
      <c r="G5" s="7"/>
      <c r="H5" s="7"/>
      <c r="I5" s="7"/>
      <c r="J5" s="8"/>
      <c r="K5" s="7"/>
      <c r="L5" s="7"/>
      <c r="M5" s="7"/>
      <c r="N5" s="7"/>
      <c r="O5" s="8"/>
      <c r="P5" s="7"/>
      <c r="Q5" s="7"/>
      <c r="R5" s="7"/>
      <c r="S5" s="7"/>
    </row>
    <row r="6" spans="1:19">
      <c r="A6" s="7"/>
      <c r="B6" s="7"/>
      <c r="C6" s="7"/>
      <c r="D6" s="7"/>
      <c r="E6" s="8"/>
      <c r="F6" s="7"/>
      <c r="G6" s="7"/>
      <c r="H6" s="7"/>
      <c r="I6" s="7"/>
      <c r="J6" s="8"/>
      <c r="K6" s="7"/>
      <c r="L6" s="7"/>
      <c r="M6" s="7"/>
      <c r="N6" s="7"/>
      <c r="O6" s="8"/>
      <c r="P6" s="7"/>
      <c r="Q6" s="7"/>
      <c r="R6" s="7"/>
      <c r="S6" s="7"/>
    </row>
    <row r="7" spans="1:19">
      <c r="A7" s="7"/>
      <c r="B7" s="7"/>
      <c r="C7" s="7"/>
      <c r="D7" s="7"/>
      <c r="E7" s="8"/>
      <c r="F7" s="7"/>
      <c r="G7" s="7"/>
      <c r="H7" s="7"/>
      <c r="I7" s="7"/>
      <c r="J7" s="8"/>
      <c r="K7" s="7"/>
      <c r="L7" s="7"/>
      <c r="M7" s="7"/>
      <c r="N7" s="7"/>
      <c r="O7" s="8"/>
      <c r="P7" s="7"/>
      <c r="Q7" s="7"/>
      <c r="R7" s="7"/>
      <c r="S7" s="7"/>
    </row>
    <row r="8" spans="1:19">
      <c r="A8" s="7"/>
      <c r="B8" s="7"/>
      <c r="C8" s="7"/>
      <c r="D8" s="7"/>
      <c r="E8" s="8"/>
      <c r="F8" s="7"/>
      <c r="G8" s="7"/>
      <c r="H8" s="7"/>
      <c r="I8" s="7"/>
      <c r="J8" s="8"/>
      <c r="K8" s="7"/>
      <c r="L8" s="7"/>
      <c r="M8" s="7"/>
      <c r="N8" s="7"/>
      <c r="O8" s="8"/>
      <c r="P8" s="7"/>
      <c r="Q8" s="7"/>
      <c r="R8" s="7"/>
      <c r="S8" s="7"/>
    </row>
    <row r="9" spans="1:19">
      <c r="A9" s="7"/>
      <c r="B9" s="7"/>
      <c r="C9" s="7"/>
      <c r="D9" s="7"/>
      <c r="E9" s="8"/>
      <c r="F9" s="7"/>
      <c r="G9" s="7"/>
      <c r="H9" s="7"/>
      <c r="I9" s="7"/>
      <c r="J9" s="8"/>
      <c r="K9" s="7"/>
      <c r="L9" s="7"/>
      <c r="M9" s="7"/>
      <c r="N9" s="7"/>
      <c r="O9" s="8"/>
      <c r="P9" s="7"/>
      <c r="Q9" s="7"/>
      <c r="R9" s="7"/>
      <c r="S9" s="7"/>
    </row>
    <row r="10" spans="1:19">
      <c r="A10" s="7"/>
      <c r="B10" s="7"/>
      <c r="C10" s="7"/>
      <c r="D10" s="7"/>
      <c r="E10" s="8"/>
      <c r="F10" s="7"/>
      <c r="G10" s="7"/>
      <c r="H10" s="7"/>
      <c r="I10" s="7"/>
      <c r="J10" s="8"/>
      <c r="K10" s="7"/>
      <c r="L10" s="7"/>
      <c r="M10" s="7"/>
      <c r="N10" s="7"/>
      <c r="O10" s="8"/>
      <c r="P10" s="7"/>
      <c r="Q10" s="7"/>
      <c r="R10" s="7"/>
      <c r="S10" s="7"/>
    </row>
    <row r="11" spans="1:19">
      <c r="A11" s="7"/>
      <c r="B11" s="7"/>
      <c r="C11" s="7"/>
      <c r="D11" s="7"/>
      <c r="E11" s="8"/>
      <c r="F11" s="7"/>
      <c r="G11" s="7"/>
      <c r="H11" s="7"/>
      <c r="I11" s="7"/>
      <c r="J11" s="8"/>
      <c r="K11" s="7"/>
      <c r="L11" s="7"/>
      <c r="M11" s="7"/>
      <c r="N11" s="7"/>
      <c r="O11" s="8"/>
      <c r="P11" s="7"/>
      <c r="Q11" s="7"/>
      <c r="R11" s="7"/>
      <c r="S11" s="7"/>
    </row>
    <row r="12" spans="1:19">
      <c r="A12" s="7"/>
      <c r="B12" s="7"/>
      <c r="C12" s="7"/>
      <c r="D12" s="7"/>
      <c r="E12" s="8"/>
      <c r="F12" s="7"/>
      <c r="G12" s="7"/>
      <c r="H12" s="7"/>
      <c r="I12" s="7"/>
      <c r="J12" s="8"/>
      <c r="K12" s="7"/>
      <c r="L12" s="7"/>
      <c r="M12" s="7"/>
      <c r="N12" s="7"/>
      <c r="O12" s="8"/>
      <c r="P12" s="7"/>
      <c r="Q12" s="7"/>
      <c r="R12" s="7"/>
      <c r="S12" s="7"/>
    </row>
    <row r="13" spans="1:19">
      <c r="A13" s="7"/>
      <c r="B13" s="7"/>
      <c r="C13" s="7"/>
      <c r="D13" s="7"/>
      <c r="E13" s="8"/>
      <c r="F13" s="7"/>
      <c r="G13" s="7"/>
      <c r="H13" s="7"/>
      <c r="I13" s="7"/>
      <c r="J13" s="8"/>
      <c r="K13" s="7"/>
      <c r="L13" s="7"/>
      <c r="M13" s="7"/>
      <c r="N13" s="7"/>
      <c r="O13" s="8"/>
      <c r="P13" s="7"/>
      <c r="Q13" s="7"/>
      <c r="R13" s="7"/>
      <c r="S13" s="7"/>
    </row>
    <row r="14" spans="1:19">
      <c r="A14" s="7"/>
      <c r="B14" s="7"/>
      <c r="C14" s="7"/>
      <c r="D14" s="7"/>
      <c r="E14" s="8"/>
      <c r="F14" s="7"/>
      <c r="G14" s="7"/>
      <c r="H14" s="7"/>
      <c r="I14" s="7"/>
      <c r="J14" s="8"/>
      <c r="K14" s="7"/>
      <c r="L14" s="7"/>
      <c r="M14" s="7"/>
      <c r="N14" s="7"/>
      <c r="O14" s="8"/>
      <c r="P14" s="7"/>
      <c r="Q14" s="7"/>
      <c r="R14" s="7"/>
      <c r="S14" s="7"/>
    </row>
    <row r="15" spans="1:19">
      <c r="A15" s="7"/>
      <c r="B15" s="7"/>
      <c r="C15" s="7"/>
      <c r="D15" s="7"/>
      <c r="E15" s="8"/>
      <c r="F15" s="7"/>
      <c r="G15" s="7"/>
      <c r="H15" s="7"/>
      <c r="I15" s="7"/>
      <c r="J15" s="8"/>
      <c r="K15" s="7"/>
      <c r="L15" s="7"/>
      <c r="M15" s="7"/>
      <c r="N15" s="7"/>
      <c r="O15" s="8"/>
      <c r="P15" s="7"/>
      <c r="Q15" s="7"/>
      <c r="R15" s="7"/>
      <c r="S15" s="7"/>
    </row>
    <row r="16" spans="1:19">
      <c r="A16" s="7"/>
      <c r="B16" s="7"/>
      <c r="C16" s="7"/>
      <c r="D16" s="7"/>
      <c r="E16" s="8"/>
      <c r="F16" s="7"/>
      <c r="G16" s="7"/>
      <c r="H16" s="7"/>
      <c r="I16" s="7"/>
      <c r="J16" s="8"/>
      <c r="K16" s="7"/>
      <c r="L16" s="7"/>
      <c r="M16" s="7"/>
      <c r="N16" s="7"/>
      <c r="O16" s="8"/>
      <c r="P16" s="7"/>
      <c r="Q16" s="7"/>
      <c r="R16" s="7"/>
      <c r="S16" s="7"/>
    </row>
    <row r="17" spans="1:19">
      <c r="A17" s="7"/>
      <c r="B17" s="7"/>
      <c r="C17" s="7"/>
      <c r="D17" s="7"/>
      <c r="E17" s="8"/>
      <c r="F17" s="7"/>
      <c r="G17" s="7"/>
      <c r="H17" s="7"/>
      <c r="I17" s="7"/>
      <c r="J17" s="8"/>
      <c r="K17" s="7"/>
      <c r="L17" s="7"/>
      <c r="M17" s="7"/>
      <c r="N17" s="7"/>
      <c r="O17" s="8"/>
      <c r="P17" s="7"/>
      <c r="Q17" s="7"/>
      <c r="R17" s="7"/>
      <c r="S17" s="7"/>
    </row>
    <row r="18" spans="1:19">
      <c r="A18" s="7"/>
      <c r="B18" s="7"/>
      <c r="C18" s="7"/>
      <c r="D18" s="7"/>
      <c r="E18" s="8"/>
      <c r="F18" s="7"/>
      <c r="G18" s="7"/>
      <c r="H18" s="7"/>
      <c r="I18" s="7"/>
      <c r="J18" s="8"/>
      <c r="K18" s="7"/>
      <c r="L18" s="7"/>
      <c r="M18" s="7"/>
      <c r="N18" s="7"/>
      <c r="O18" s="8"/>
      <c r="P18" s="7"/>
      <c r="Q18" s="7"/>
      <c r="R18" s="7"/>
      <c r="S18" s="7"/>
    </row>
    <row r="19" spans="1:19">
      <c r="A19" s="7"/>
      <c r="B19" s="7"/>
      <c r="C19" s="7"/>
      <c r="D19" s="7"/>
      <c r="E19" s="8"/>
      <c r="F19" s="7"/>
      <c r="G19" s="7"/>
      <c r="H19" s="7"/>
      <c r="I19" s="7"/>
      <c r="J19" s="8"/>
      <c r="K19" s="7"/>
      <c r="L19" s="7"/>
      <c r="M19" s="7"/>
      <c r="N19" s="7"/>
      <c r="O19" s="8"/>
      <c r="P19" s="7"/>
      <c r="Q19" s="7"/>
      <c r="R19" s="7"/>
      <c r="S19" s="7"/>
    </row>
    <row r="20" spans="1:19">
      <c r="A20" s="7"/>
      <c r="B20" s="7"/>
      <c r="C20" s="7"/>
      <c r="D20" s="7"/>
      <c r="E20" s="8"/>
      <c r="F20" s="7"/>
      <c r="G20" s="7"/>
      <c r="H20" s="7"/>
      <c r="I20" s="7"/>
      <c r="J20" s="8"/>
      <c r="K20" s="7"/>
      <c r="L20" s="7"/>
      <c r="M20" s="7"/>
      <c r="N20" s="7"/>
      <c r="O20" s="8"/>
      <c r="P20" s="7"/>
      <c r="Q20" s="7"/>
      <c r="R20" s="7"/>
      <c r="S20" s="7"/>
    </row>
    <row r="21" spans="1:19">
      <c r="A21" s="7"/>
      <c r="B21" s="7"/>
      <c r="C21" s="7"/>
      <c r="D21" s="7"/>
      <c r="E21" s="8"/>
      <c r="F21" s="7"/>
      <c r="G21" s="7"/>
      <c r="H21" s="7"/>
      <c r="I21" s="7"/>
      <c r="J21" s="8"/>
      <c r="K21" s="7"/>
      <c r="L21" s="7"/>
      <c r="M21" s="7"/>
      <c r="N21" s="7"/>
      <c r="O21" s="8"/>
      <c r="P21" s="7"/>
      <c r="Q21" s="7"/>
      <c r="R21" s="7"/>
      <c r="S21" s="7"/>
    </row>
  </sheetData>
  <pageMargins left="0.7" right="0.7" top="0.75" bottom="0.75" header="0.3" footer="0.3"/>
  <pageSetup paperSize="9" orientation="portrait" horizontalDpi="200" verticalDpi="20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Hoja4"/>
  <dimension ref="C4:F8"/>
  <sheetViews>
    <sheetView workbookViewId="0">
      <selection activeCell="G17" sqref="G17"/>
    </sheetView>
  </sheetViews>
  <sheetFormatPr baseColWidth="10" defaultRowHeight="15"/>
  <sheetData>
    <row r="4" spans="3:6">
      <c r="C4">
        <v>1</v>
      </c>
      <c r="D4">
        <v>3</v>
      </c>
      <c r="E4">
        <v>100</v>
      </c>
      <c r="F4">
        <v>200</v>
      </c>
    </row>
    <row r="5" spans="3:6">
      <c r="C5">
        <v>2</v>
      </c>
      <c r="D5">
        <v>4</v>
      </c>
      <c r="E5">
        <v>200</v>
      </c>
      <c r="F5">
        <v>250</v>
      </c>
    </row>
    <row r="6" spans="3:6">
      <c r="C6">
        <v>3</v>
      </c>
      <c r="D6">
        <v>5</v>
      </c>
      <c r="E6">
        <v>300</v>
      </c>
      <c r="F6">
        <v>350</v>
      </c>
    </row>
    <row r="7" spans="3:6">
      <c r="C7">
        <v>4</v>
      </c>
      <c r="D7">
        <v>6</v>
      </c>
      <c r="E7">
        <v>400</v>
      </c>
      <c r="F7">
        <v>480</v>
      </c>
    </row>
    <row r="8" spans="3:6">
      <c r="C8">
        <v>5</v>
      </c>
      <c r="D8">
        <v>7</v>
      </c>
      <c r="E8">
        <v>450</v>
      </c>
      <c r="F8">
        <v>550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18</vt:i4>
      </vt:variant>
    </vt:vector>
  </HeadingPairs>
  <TitlesOfParts>
    <vt:vector size="22" baseType="lpstr">
      <vt:lpstr>Hoja1</vt:lpstr>
      <vt:lpstr>Hoja2</vt:lpstr>
      <vt:lpstr>HojaDatos</vt:lpstr>
      <vt:lpstr>Hoja4</vt:lpstr>
      <vt:lpstr>Celda2</vt:lpstr>
      <vt:lpstr>Comp1</vt:lpstr>
      <vt:lpstr>Comp2</vt:lpstr>
      <vt:lpstr>Comp3</vt:lpstr>
      <vt:lpstr>Comp4</vt:lpstr>
      <vt:lpstr>EjeX</vt:lpstr>
      <vt:lpstr>EjeX2</vt:lpstr>
      <vt:lpstr>FlujoM1</vt:lpstr>
      <vt:lpstr>FlujoM2</vt:lpstr>
      <vt:lpstr>FlujoM3</vt:lpstr>
      <vt:lpstr>FlujoM4</vt:lpstr>
      <vt:lpstr>Perd1</vt:lpstr>
      <vt:lpstr>Perd2</vt:lpstr>
      <vt:lpstr>Perd3</vt:lpstr>
      <vt:lpstr>Resultado</vt:lpstr>
      <vt:lpstr>Resultado2</vt:lpstr>
      <vt:lpstr>SeleccionGrafico</vt:lpstr>
      <vt:lpstr>SeleccionGraficoPerdida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2006-09-12T12:46:56Z</dcterms:created>
  <dcterms:modified xsi:type="dcterms:W3CDTF">2014-05-23T20:25:34Z</dcterms:modified>
</cp:coreProperties>
</file>